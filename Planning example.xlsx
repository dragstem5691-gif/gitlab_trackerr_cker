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Override PartName="/xl/threadedComments/threadedComment6.xml" ContentType="application/vnd.ms-excel.threadedcomments+xml"/>
  <Override PartName="/xl/threadedComments/threadedComment7.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NIKITA\Desktop\gitlab tracker\gitlab_trackerr_cker\"/>
    </mc:Choice>
  </mc:AlternateContent>
  <xr:revisionPtr revIDLastSave="0" documentId="8_{A4C90AE9-B362-4293-8922-3D02C48051E2}" xr6:coauthVersionLast="47" xr6:coauthVersionMax="47" xr10:uidLastSave="{00000000-0000-0000-0000-000000000000}"/>
  <bookViews>
    <workbookView xWindow="-120" yWindow="-120" windowWidth="29040" windowHeight="15840" firstSheet="34" activeTab="34" xr2:uid="{00000000-000D-0000-FFFF-FFFF00000000}"/>
  </bookViews>
  <sheets>
    <sheet name="Sprint 1" sheetId="3" state="hidden" r:id="rId1"/>
    <sheet name="Sprint 2 (ERC20 Epic)" sheetId="4" state="hidden" r:id="rId2"/>
    <sheet name="Sprint 3 " sheetId="5" state="hidden" r:id="rId3"/>
    <sheet name="Sprint 4" sheetId="6" state="hidden" r:id="rId4"/>
    <sheet name="Sprint 4.1" sheetId="7" state="hidden" r:id="rId5"/>
    <sheet name="Sprint 5" sheetId="8" state="hidden" r:id="rId6"/>
    <sheet name="Sprint 6" sheetId="9" state="hidden" r:id="rId7"/>
    <sheet name="Sprint 11 - main upadate (01.08" sheetId="10" state="hidden" r:id="rId8"/>
    <sheet name="Sprint 12 (24.10-25.11)" sheetId="11" state="hidden" r:id="rId9"/>
    <sheet name="Sprint 13 (28.11-13.12)" sheetId="12" state="hidden" r:id="rId10"/>
    <sheet name="Sprint 14 (14.12-26.12)" sheetId="13" state="hidden" r:id="rId11"/>
    <sheet name="Sprint 15 (27.12-17.01)" sheetId="14" state="hidden" r:id="rId12"/>
    <sheet name="Sprint 16 (18.01-10.02)" sheetId="15" state="hidden" r:id="rId13"/>
    <sheet name="Sprint 17 (11.02-28.02)" sheetId="16" state="hidden" r:id="rId14"/>
    <sheet name="Sprint 18 (01.03-23.03) " sheetId="17" state="hidden" r:id="rId15"/>
    <sheet name="Sprint 19 (24.03-09.04)" sheetId="18" state="hidden" r:id="rId16"/>
    <sheet name="Sprint 20 (10.04-29.04)" sheetId="19" state="hidden" r:id="rId17"/>
    <sheet name="Sprint 21 (30.04-03.07)" sheetId="20" state="hidden" r:id="rId18"/>
    <sheet name="Sprint 22 (04.07-03.08) " sheetId="21" state="hidden" r:id="rId19"/>
    <sheet name="Sprint 23 (04.08-04.09)" sheetId="22" state="hidden" r:id="rId20"/>
    <sheet name="Sprint 24 (05.09-29.10) " sheetId="23" state="hidden" r:id="rId21"/>
    <sheet name="Sprint 25 (30.10-28.12) " sheetId="24" state="hidden" r:id="rId22"/>
    <sheet name="Sprint 26 (29.12-06.03) " sheetId="25" state="hidden" r:id="rId23"/>
    <sheet name="Sprint 27 (07.03-26.04)" sheetId="26" state="hidden" r:id="rId24"/>
    <sheet name="Sprint 28 (27.04- 28.06)" sheetId="27" state="hidden" r:id="rId25"/>
    <sheet name="Sprint 29 (01.07 - 13.08 )" sheetId="28" state="hidden" r:id="rId26"/>
    <sheet name="Sprint 30 (14.08 - 16.09) " sheetId="29" state="hidden" r:id="rId27"/>
    <sheet name="Sprint 31 (17.09 - 11.11)" sheetId="30" state="hidden" r:id="rId28"/>
    <sheet name="Sprint 32 (12.11 - 23.12)" sheetId="31" state="hidden" r:id="rId29"/>
    <sheet name="Sprint 33 (24.12 - 10.02)" sheetId="32" state="hidden" r:id="rId30"/>
    <sheet name="Sprint 34 (11.02-15.05) " sheetId="33" state="hidden" r:id="rId31"/>
    <sheet name="Sprint 35 (19.05-19.06)" sheetId="34" state="hidden" r:id="rId32"/>
    <sheet name="Sprint 36 (20.06-21.07)" sheetId="35" state="hidden" r:id="rId33"/>
    <sheet name="Sprint 37 (22.07-29.08)" sheetId="36" state="hidden" r:id="rId34"/>
    <sheet name="Sprint 43 (24.03 - 27.04)" sheetId="41" r:id="rId35"/>
    <sheet name="Sprint 11 (22.03-08.04)" sheetId="43" state="hidden" r:id="rId36"/>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7" i="43" l="1"/>
  <c r="F6" i="43"/>
  <c r="F5" i="43"/>
  <c r="F4" i="43"/>
  <c r="F3" i="43"/>
  <c r="F2" i="43"/>
  <c r="F8" i="43" s="1"/>
  <c r="H52" i="41"/>
  <c r="G52" i="41"/>
  <c r="F52" i="41"/>
  <c r="E52" i="41"/>
  <c r="D52" i="41"/>
  <c r="C52" i="41"/>
  <c r="E10" i="41"/>
  <c r="E9" i="41"/>
  <c r="E8" i="41"/>
  <c r="E7" i="41"/>
  <c r="E6" i="41"/>
  <c r="E5" i="41"/>
  <c r="E4" i="41"/>
  <c r="E3" i="41"/>
  <c r="E11" i="41" s="1"/>
  <c r="E2" i="41"/>
  <c r="Q67" i="36"/>
  <c r="I67" i="36"/>
  <c r="Q66" i="36"/>
  <c r="I66" i="36"/>
  <c r="Q65" i="36"/>
  <c r="I65" i="36"/>
  <c r="Q64" i="36"/>
  <c r="I64" i="36"/>
  <c r="Q63" i="36"/>
  <c r="I63" i="36"/>
  <c r="Q62" i="36"/>
  <c r="Q68" i="36" s="1"/>
  <c r="I62" i="36"/>
  <c r="Q61" i="36"/>
  <c r="I61" i="36"/>
  <c r="Q60" i="36"/>
  <c r="I60" i="36"/>
  <c r="Q59" i="36"/>
  <c r="I59" i="36"/>
  <c r="I68" i="36" s="1"/>
  <c r="Q58" i="36"/>
  <c r="I58" i="36"/>
  <c r="Q57" i="36"/>
  <c r="I57" i="36"/>
  <c r="Q56" i="36"/>
  <c r="I56" i="36"/>
  <c r="Q55" i="36"/>
  <c r="I55" i="36"/>
  <c r="Q54" i="36"/>
  <c r="I54" i="36"/>
  <c r="Q53" i="36"/>
  <c r="I53" i="36"/>
  <c r="Q52" i="36"/>
  <c r="I52" i="36"/>
  <c r="Q51" i="36"/>
  <c r="I51" i="36"/>
  <c r="Q50" i="36"/>
  <c r="I50" i="36"/>
  <c r="Q49" i="36"/>
  <c r="I49" i="36"/>
  <c r="Q48" i="36"/>
  <c r="I48" i="36"/>
  <c r="Q47" i="36"/>
  <c r="I47" i="36"/>
  <c r="Q46" i="36"/>
  <c r="I46" i="36"/>
  <c r="Q45" i="36"/>
  <c r="I45" i="36"/>
  <c r="Q44" i="36"/>
  <c r="I44" i="36"/>
  <c r="Q43" i="36"/>
  <c r="I43" i="36"/>
  <c r="Q42" i="36"/>
  <c r="I42" i="36"/>
  <c r="Q41" i="36"/>
  <c r="I41" i="36"/>
  <c r="Q40" i="36"/>
  <c r="I40" i="36"/>
  <c r="Q39" i="36"/>
  <c r="I39" i="36"/>
  <c r="Q38" i="36"/>
  <c r="I38" i="36"/>
  <c r="Q37" i="36"/>
  <c r="I37" i="36"/>
  <c r="Q36" i="36"/>
  <c r="I36" i="36"/>
  <c r="Q35" i="36"/>
  <c r="I35" i="36"/>
  <c r="Q34" i="36"/>
  <c r="I34" i="36"/>
  <c r="Q33" i="36"/>
  <c r="I33" i="36"/>
  <c r="Q32" i="36"/>
  <c r="I32" i="36"/>
  <c r="Q31" i="36"/>
  <c r="I31" i="36"/>
  <c r="Q30" i="36"/>
  <c r="I30" i="36"/>
  <c r="Q29" i="36"/>
  <c r="I29" i="36"/>
  <c r="Q28" i="36"/>
  <c r="I28" i="36"/>
  <c r="Q27" i="36"/>
  <c r="I27" i="36"/>
  <c r="Q26" i="36"/>
  <c r="I26" i="36"/>
  <c r="Q25" i="36"/>
  <c r="I25" i="36"/>
  <c r="Q24" i="36"/>
  <c r="I24" i="36"/>
  <c r="Q23" i="36"/>
  <c r="I23" i="36"/>
  <c r="Q22" i="36"/>
  <c r="I22" i="36"/>
  <c r="Q21" i="36"/>
  <c r="I21" i="36"/>
  <c r="Q20" i="36"/>
  <c r="I20" i="36"/>
  <c r="Q19" i="36"/>
  <c r="I19" i="36"/>
  <c r="Q18" i="36"/>
  <c r="I18" i="36"/>
  <c r="Q17" i="36"/>
  <c r="I17" i="36"/>
  <c r="Q16" i="36"/>
  <c r="I16" i="36"/>
  <c r="Q15" i="36"/>
  <c r="I15" i="36"/>
  <c r="E11" i="36"/>
  <c r="E10" i="36"/>
  <c r="E9" i="36"/>
  <c r="E12" i="36" s="1"/>
  <c r="E8" i="36"/>
  <c r="E7" i="36"/>
  <c r="E6" i="36"/>
  <c r="E5" i="36"/>
  <c r="E4" i="36"/>
  <c r="E3" i="36"/>
  <c r="E2" i="36"/>
  <c r="Q47" i="35"/>
  <c r="I47" i="35"/>
  <c r="Q46" i="35"/>
  <c r="I46" i="35"/>
  <c r="Q45" i="35"/>
  <c r="I45" i="35"/>
  <c r="Q44" i="35"/>
  <c r="I44" i="35"/>
  <c r="Q43" i="35"/>
  <c r="I43" i="35"/>
  <c r="Q42" i="35"/>
  <c r="I42" i="35"/>
  <c r="Q41" i="35"/>
  <c r="Q48" i="35" s="1"/>
  <c r="I41" i="35"/>
  <c r="Q40" i="35"/>
  <c r="I40" i="35"/>
  <c r="Q39" i="35"/>
  <c r="I39" i="35"/>
  <c r="Q38" i="35"/>
  <c r="I38" i="35"/>
  <c r="Q37" i="35"/>
  <c r="I37" i="35"/>
  <c r="Q36" i="35"/>
  <c r="I36" i="35"/>
  <c r="Q35" i="35"/>
  <c r="I35" i="35"/>
  <c r="Q34" i="35"/>
  <c r="I34" i="35"/>
  <c r="Q33" i="35"/>
  <c r="I33" i="35"/>
  <c r="Q32" i="35"/>
  <c r="I32" i="35"/>
  <c r="Q31" i="35"/>
  <c r="I31" i="35"/>
  <c r="Q30" i="35"/>
  <c r="I30" i="35"/>
  <c r="C30" i="35"/>
  <c r="Q29" i="35"/>
  <c r="I29" i="35"/>
  <c r="Q28" i="35"/>
  <c r="I28" i="35"/>
  <c r="Q27" i="35"/>
  <c r="I27" i="35"/>
  <c r="Q26" i="35"/>
  <c r="I26" i="35"/>
  <c r="Q25" i="35"/>
  <c r="I25" i="35"/>
  <c r="Q24" i="35"/>
  <c r="I24" i="35"/>
  <c r="Q23" i="35"/>
  <c r="I23" i="35"/>
  <c r="Q22" i="35"/>
  <c r="I22" i="35"/>
  <c r="Q21" i="35"/>
  <c r="I21" i="35"/>
  <c r="Q20" i="35"/>
  <c r="I20" i="35"/>
  <c r="Q19" i="35"/>
  <c r="I19" i="35"/>
  <c r="Q18" i="35"/>
  <c r="I18" i="35"/>
  <c r="Q17" i="35"/>
  <c r="I17" i="35"/>
  <c r="I48" i="35" s="1"/>
  <c r="Q16" i="35"/>
  <c r="I16" i="35"/>
  <c r="Q15" i="35"/>
  <c r="I15" i="35"/>
  <c r="E11" i="35"/>
  <c r="E10" i="35"/>
  <c r="E9" i="35"/>
  <c r="E8" i="35"/>
  <c r="E7" i="35"/>
  <c r="E6" i="35"/>
  <c r="E5" i="35"/>
  <c r="E4" i="35"/>
  <c r="E3" i="35"/>
  <c r="E2" i="35"/>
  <c r="E12" i="35" s="1"/>
  <c r="I58" i="34"/>
  <c r="I59" i="34" s="1"/>
  <c r="Q55" i="34"/>
  <c r="I55" i="34"/>
  <c r="Q54" i="34"/>
  <c r="I54" i="34"/>
  <c r="I53" i="34"/>
  <c r="I52" i="34"/>
  <c r="I51" i="34"/>
  <c r="I50" i="34"/>
  <c r="I49" i="34"/>
  <c r="I48" i="34"/>
  <c r="I47" i="34"/>
  <c r="I46" i="34"/>
  <c r="I45" i="34"/>
  <c r="I44" i="34"/>
  <c r="Q43" i="34"/>
  <c r="I43" i="34"/>
  <c r="I42" i="34"/>
  <c r="I41" i="34"/>
  <c r="I40" i="34"/>
  <c r="I39" i="34"/>
  <c r="I38" i="34"/>
  <c r="I37" i="34"/>
  <c r="I36" i="34"/>
  <c r="I35" i="34"/>
  <c r="I34" i="34"/>
  <c r="I33" i="34"/>
  <c r="Q32" i="34"/>
  <c r="I32" i="34"/>
  <c r="I31" i="34"/>
  <c r="I30" i="34"/>
  <c r="I29" i="34"/>
  <c r="I28" i="34"/>
  <c r="I27" i="34"/>
  <c r="I26" i="34"/>
  <c r="I25" i="34"/>
  <c r="I24" i="34"/>
  <c r="I23" i="34"/>
  <c r="Q22" i="34"/>
  <c r="Q21" i="34"/>
  <c r="I21" i="34"/>
  <c r="Q20" i="34"/>
  <c r="I20" i="34"/>
  <c r="Q19" i="34"/>
  <c r="I19" i="34"/>
  <c r="Q18" i="34"/>
  <c r="I18" i="34"/>
  <c r="Q17" i="34"/>
  <c r="I17" i="34"/>
  <c r="I56" i="34" s="1"/>
  <c r="I60" i="34" s="1"/>
  <c r="Q16" i="34"/>
  <c r="Q56" i="34" s="1"/>
  <c r="E11" i="34"/>
  <c r="E10" i="34"/>
  <c r="E9" i="34"/>
  <c r="E8" i="34"/>
  <c r="C8" i="34"/>
  <c r="E7" i="34"/>
  <c r="C6" i="34"/>
  <c r="E6" i="34" s="1"/>
  <c r="E5" i="34"/>
  <c r="E4" i="34"/>
  <c r="E3" i="34"/>
  <c r="E2" i="34"/>
  <c r="I107" i="33"/>
  <c r="I106" i="33"/>
  <c r="I105" i="33"/>
  <c r="I104" i="33"/>
  <c r="I103" i="33"/>
  <c r="I102" i="33"/>
  <c r="I101" i="33"/>
  <c r="I100" i="33"/>
  <c r="I99" i="33"/>
  <c r="I98" i="33"/>
  <c r="I97" i="33"/>
  <c r="I96" i="33"/>
  <c r="I95" i="33"/>
  <c r="I94" i="33"/>
  <c r="I93" i="33"/>
  <c r="I92" i="33"/>
  <c r="I91" i="33"/>
  <c r="I90" i="33"/>
  <c r="I89" i="33"/>
  <c r="I88" i="33"/>
  <c r="I86" i="33"/>
  <c r="I85" i="33"/>
  <c r="I84" i="33"/>
  <c r="I83" i="33"/>
  <c r="I108" i="33" s="1"/>
  <c r="I82" i="33"/>
  <c r="I81" i="33"/>
  <c r="I80" i="33"/>
  <c r="I79" i="33"/>
  <c r="I78" i="33"/>
  <c r="I75" i="33"/>
  <c r="C75" i="33"/>
  <c r="I74" i="33"/>
  <c r="I73" i="33"/>
  <c r="I72" i="33"/>
  <c r="I71" i="33"/>
  <c r="I70" i="33"/>
  <c r="I69" i="33"/>
  <c r="I68" i="33"/>
  <c r="Q67" i="33"/>
  <c r="I67" i="33"/>
  <c r="Q66" i="33"/>
  <c r="I66" i="33"/>
  <c r="Q65" i="33"/>
  <c r="I65" i="33"/>
  <c r="Q64" i="33"/>
  <c r="I64" i="33"/>
  <c r="Q63" i="33"/>
  <c r="I63" i="33"/>
  <c r="Q62" i="33"/>
  <c r="I62" i="33"/>
  <c r="I61" i="33"/>
  <c r="I60" i="33"/>
  <c r="I59" i="33"/>
  <c r="I58" i="33"/>
  <c r="I57" i="33"/>
  <c r="I56" i="33"/>
  <c r="I55" i="33"/>
  <c r="I54" i="33"/>
  <c r="I53" i="33"/>
  <c r="I52" i="33"/>
  <c r="I51" i="33"/>
  <c r="Q50" i="33"/>
  <c r="I50" i="33"/>
  <c r="I49" i="33"/>
  <c r="I48" i="33"/>
  <c r="I47" i="33"/>
  <c r="I46" i="33"/>
  <c r="I45" i="33"/>
  <c r="I44" i="33"/>
  <c r="I43" i="33"/>
  <c r="I42" i="33"/>
  <c r="I41" i="33"/>
  <c r="I40" i="33"/>
  <c r="I39" i="33"/>
  <c r="I38" i="33"/>
  <c r="I37" i="33"/>
  <c r="I36" i="33"/>
  <c r="Q35" i="33"/>
  <c r="I35" i="33"/>
  <c r="Q34" i="33"/>
  <c r="I34" i="33"/>
  <c r="Q33" i="33"/>
  <c r="I33" i="33"/>
  <c r="Q32" i="33"/>
  <c r="I32" i="33"/>
  <c r="Q31" i="33"/>
  <c r="I31" i="33"/>
  <c r="Q30" i="33"/>
  <c r="I30" i="33"/>
  <c r="Q29" i="33"/>
  <c r="I29" i="33"/>
  <c r="Q28" i="33"/>
  <c r="I28" i="33"/>
  <c r="Q27" i="33"/>
  <c r="I27" i="33"/>
  <c r="Q26" i="33"/>
  <c r="I26" i="33"/>
  <c r="I25" i="33"/>
  <c r="I24" i="33"/>
  <c r="I23" i="33"/>
  <c r="I22" i="33"/>
  <c r="Q21" i="33"/>
  <c r="I21" i="33"/>
  <c r="Q20" i="33"/>
  <c r="I20" i="33"/>
  <c r="I19" i="33"/>
  <c r="I76" i="33" s="1"/>
  <c r="I18" i="33"/>
  <c r="Q17" i="33"/>
  <c r="I17" i="33"/>
  <c r="Q16" i="33"/>
  <c r="I16" i="33"/>
  <c r="Q15" i="33"/>
  <c r="Q68" i="33" s="1"/>
  <c r="I15" i="33"/>
  <c r="E10" i="33"/>
  <c r="E9" i="33"/>
  <c r="E8" i="33"/>
  <c r="E7" i="33"/>
  <c r="E6" i="33"/>
  <c r="E5" i="33"/>
  <c r="E4" i="33"/>
  <c r="E3" i="33"/>
  <c r="E2" i="33"/>
  <c r="E11" i="33" s="1"/>
  <c r="I72" i="32"/>
  <c r="I71" i="32"/>
  <c r="I70" i="32"/>
  <c r="I69" i="32"/>
  <c r="I68" i="32"/>
  <c r="I66" i="32"/>
  <c r="I65" i="32"/>
  <c r="I64" i="32"/>
  <c r="I63" i="32"/>
  <c r="I62" i="32"/>
  <c r="I61" i="32"/>
  <c r="I60" i="32"/>
  <c r="I59" i="32"/>
  <c r="I58" i="32"/>
  <c r="I57" i="32"/>
  <c r="I56" i="32"/>
  <c r="I55" i="32"/>
  <c r="I54" i="32"/>
  <c r="I53" i="32"/>
  <c r="F53" i="32"/>
  <c r="I52" i="32"/>
  <c r="I73" i="32" s="1"/>
  <c r="I48" i="32"/>
  <c r="I47" i="32"/>
  <c r="I46" i="32"/>
  <c r="I45" i="32"/>
  <c r="I44" i="32"/>
  <c r="I43" i="32"/>
  <c r="I42" i="32"/>
  <c r="I41" i="32"/>
  <c r="Q40" i="32"/>
  <c r="I40" i="32"/>
  <c r="Q39" i="32"/>
  <c r="I39" i="32"/>
  <c r="Q38" i="32"/>
  <c r="I38" i="32"/>
  <c r="Q37" i="32"/>
  <c r="I37" i="32"/>
  <c r="Q36" i="32"/>
  <c r="I36" i="32"/>
  <c r="Q35" i="32"/>
  <c r="I35" i="32"/>
  <c r="Q34" i="32"/>
  <c r="I34" i="32"/>
  <c r="Q33" i="32"/>
  <c r="I33" i="32"/>
  <c r="Q32" i="32"/>
  <c r="I32" i="32"/>
  <c r="Q31" i="32"/>
  <c r="I31" i="32"/>
  <c r="Q30" i="32"/>
  <c r="I30" i="32"/>
  <c r="Q29" i="32"/>
  <c r="I29" i="32"/>
  <c r="Q28" i="32"/>
  <c r="I28" i="32"/>
  <c r="Q27" i="32"/>
  <c r="I27" i="32"/>
  <c r="Q26" i="32"/>
  <c r="I26" i="32"/>
  <c r="Q25" i="32"/>
  <c r="I25" i="32"/>
  <c r="Q24" i="32"/>
  <c r="I24" i="32"/>
  <c r="Q23" i="32"/>
  <c r="I23" i="32"/>
  <c r="I22" i="32"/>
  <c r="G22" i="32"/>
  <c r="Q21" i="32"/>
  <c r="I21" i="32"/>
  <c r="Q20" i="32"/>
  <c r="I20" i="32"/>
  <c r="Q19" i="32"/>
  <c r="I19" i="32"/>
  <c r="Q18" i="32"/>
  <c r="Q42" i="32" s="1"/>
  <c r="I18" i="32"/>
  <c r="Q17" i="32"/>
  <c r="Q41" i="32" s="1"/>
  <c r="I17" i="32"/>
  <c r="Q16" i="32"/>
  <c r="I16" i="32"/>
  <c r="I49" i="32" s="1"/>
  <c r="I74" i="32" s="1"/>
  <c r="E11" i="32"/>
  <c r="E10" i="32"/>
  <c r="E9" i="32"/>
  <c r="E8" i="32"/>
  <c r="E7" i="32"/>
  <c r="E6" i="32"/>
  <c r="E12" i="32" s="1"/>
  <c r="E5" i="32"/>
  <c r="E4" i="32"/>
  <c r="E3" i="32"/>
  <c r="E2" i="32"/>
  <c r="I57" i="31"/>
  <c r="I56" i="31"/>
  <c r="I55" i="31"/>
  <c r="I54" i="31"/>
  <c r="I53" i="31"/>
  <c r="I52" i="31"/>
  <c r="I51" i="31"/>
  <c r="I50" i="31"/>
  <c r="I49" i="31"/>
  <c r="I48" i="31"/>
  <c r="I47" i="31"/>
  <c r="I46" i="31"/>
  <c r="I45" i="31"/>
  <c r="I44" i="31"/>
  <c r="I43" i="31"/>
  <c r="I58" i="31" s="1"/>
  <c r="I42" i="31"/>
  <c r="I41" i="31"/>
  <c r="Q39" i="31"/>
  <c r="Q37" i="31"/>
  <c r="I37" i="31"/>
  <c r="Q36" i="31"/>
  <c r="I36" i="31"/>
  <c r="Q35" i="31"/>
  <c r="I35" i="31"/>
  <c r="Q34" i="31"/>
  <c r="I34" i="31"/>
  <c r="Q33" i="31"/>
  <c r="I33" i="31"/>
  <c r="Q32" i="31"/>
  <c r="I32" i="31"/>
  <c r="Q31" i="31"/>
  <c r="I31" i="31"/>
  <c r="Q30" i="31"/>
  <c r="I30" i="31"/>
  <c r="Q29" i="31"/>
  <c r="I29" i="31"/>
  <c r="Q28" i="31"/>
  <c r="I28" i="31"/>
  <c r="Q27" i="31"/>
  <c r="I27" i="31"/>
  <c r="Q26" i="31"/>
  <c r="I26" i="31"/>
  <c r="Q25" i="31"/>
  <c r="I25" i="31"/>
  <c r="Q24" i="31"/>
  <c r="I24" i="31"/>
  <c r="Q23" i="31"/>
  <c r="I23" i="31"/>
  <c r="Q22" i="31"/>
  <c r="I22" i="31"/>
  <c r="Q21" i="31"/>
  <c r="I21" i="31"/>
  <c r="Q20" i="31"/>
  <c r="I20" i="31"/>
  <c r="Q19" i="31"/>
  <c r="I19" i="31"/>
  <c r="Q18" i="31"/>
  <c r="I18" i="31"/>
  <c r="Q17" i="31"/>
  <c r="I17" i="31"/>
  <c r="Q16" i="31"/>
  <c r="Q38" i="31" s="1"/>
  <c r="I16" i="31"/>
  <c r="Q15" i="31"/>
  <c r="I15" i="31"/>
  <c r="I38" i="31" s="1"/>
  <c r="I59" i="31" s="1"/>
  <c r="E10" i="31"/>
  <c r="E9" i="31"/>
  <c r="E8" i="31"/>
  <c r="E7" i="31"/>
  <c r="E6" i="31"/>
  <c r="E5" i="31"/>
  <c r="E4" i="31"/>
  <c r="E3" i="31"/>
  <c r="E11" i="31" s="1"/>
  <c r="E2" i="31"/>
  <c r="I61" i="30"/>
  <c r="I60" i="30"/>
  <c r="I59" i="30"/>
  <c r="I58" i="30"/>
  <c r="I57" i="30"/>
  <c r="I56" i="30"/>
  <c r="I55" i="30"/>
  <c r="I53" i="30"/>
  <c r="I52" i="30"/>
  <c r="I51" i="30"/>
  <c r="I50" i="30"/>
  <c r="I49" i="30"/>
  <c r="I62" i="30" s="1"/>
  <c r="I48" i="30"/>
  <c r="I47" i="30"/>
  <c r="Q43" i="30"/>
  <c r="I43" i="30"/>
  <c r="Q42" i="30"/>
  <c r="I42" i="30"/>
  <c r="Q41" i="30"/>
  <c r="I41" i="30"/>
  <c r="Q40" i="30"/>
  <c r="I40" i="30"/>
  <c r="Q39" i="30"/>
  <c r="I39" i="30"/>
  <c r="Q38" i="30"/>
  <c r="I38" i="30"/>
  <c r="Q37" i="30"/>
  <c r="I37" i="30"/>
  <c r="Q36" i="30"/>
  <c r="I36" i="30"/>
  <c r="Q35" i="30"/>
  <c r="I35" i="30"/>
  <c r="Q34" i="30"/>
  <c r="I34" i="30"/>
  <c r="Q33" i="30"/>
  <c r="I33" i="30"/>
  <c r="Q32" i="30"/>
  <c r="I32" i="30"/>
  <c r="Q31" i="30"/>
  <c r="I31" i="30"/>
  <c r="Q30" i="30"/>
  <c r="I30" i="30"/>
  <c r="Q29" i="30"/>
  <c r="I29" i="30"/>
  <c r="Q28" i="30"/>
  <c r="I28" i="30"/>
  <c r="Q27" i="30"/>
  <c r="I27" i="30"/>
  <c r="Q26" i="30"/>
  <c r="I26" i="30"/>
  <c r="Q25" i="30"/>
  <c r="I25" i="30"/>
  <c r="Q24" i="30"/>
  <c r="I24" i="30"/>
  <c r="Q23" i="30"/>
  <c r="I23" i="30"/>
  <c r="Q22" i="30"/>
  <c r="I22" i="30"/>
  <c r="Q21" i="30"/>
  <c r="I21" i="30"/>
  <c r="Q20" i="30"/>
  <c r="I20" i="30"/>
  <c r="Q19" i="30"/>
  <c r="I19" i="30"/>
  <c r="Q18" i="30"/>
  <c r="I18" i="30"/>
  <c r="Q17" i="30"/>
  <c r="I17" i="30"/>
  <c r="Q16" i="30"/>
  <c r="I16" i="30"/>
  <c r="Q15" i="30"/>
  <c r="Q45" i="30" s="1"/>
  <c r="I15" i="30"/>
  <c r="I44" i="30" s="1"/>
  <c r="I63" i="30" s="1"/>
  <c r="E10" i="30"/>
  <c r="E9" i="30"/>
  <c r="E8" i="30"/>
  <c r="E7" i="30"/>
  <c r="E6" i="30"/>
  <c r="E5" i="30"/>
  <c r="E4" i="30"/>
  <c r="E3" i="30"/>
  <c r="E11" i="30" s="1"/>
  <c r="E2" i="30"/>
  <c r="I48" i="29"/>
  <c r="I47" i="29"/>
  <c r="I46" i="29"/>
  <c r="I45" i="29"/>
  <c r="I44" i="29"/>
  <c r="I43" i="29"/>
  <c r="I42" i="29"/>
  <c r="I41" i="29"/>
  <c r="I40" i="29"/>
  <c r="I49" i="29" s="1"/>
  <c r="I39" i="29"/>
  <c r="Q36" i="29"/>
  <c r="I36" i="29"/>
  <c r="Q35" i="29"/>
  <c r="I35" i="29"/>
  <c r="Q34" i="29"/>
  <c r="I34" i="29"/>
  <c r="Q33" i="29"/>
  <c r="I33" i="29"/>
  <c r="Q32" i="29"/>
  <c r="I32" i="29"/>
  <c r="Q31" i="29"/>
  <c r="I31" i="29"/>
  <c r="Q30" i="29"/>
  <c r="I30" i="29"/>
  <c r="Q29" i="29"/>
  <c r="I29" i="29"/>
  <c r="Q28" i="29"/>
  <c r="I28" i="29"/>
  <c r="Q27" i="29"/>
  <c r="I27" i="29"/>
  <c r="Q26" i="29"/>
  <c r="I26" i="29"/>
  <c r="Q25" i="29"/>
  <c r="I25" i="29"/>
  <c r="Q24" i="29"/>
  <c r="I24" i="29"/>
  <c r="Q23" i="29"/>
  <c r="I23" i="29"/>
  <c r="Q22" i="29"/>
  <c r="I22" i="29"/>
  <c r="Q21" i="29"/>
  <c r="I21" i="29"/>
  <c r="Q20" i="29"/>
  <c r="I20" i="29"/>
  <c r="Q19" i="29"/>
  <c r="I19" i="29"/>
  <c r="Q18" i="29"/>
  <c r="I18" i="29"/>
  <c r="Q17" i="29"/>
  <c r="Q37" i="29" s="1"/>
  <c r="I17" i="29"/>
  <c r="Q16" i="29"/>
  <c r="I16" i="29"/>
  <c r="I37" i="29" s="1"/>
  <c r="E11" i="29"/>
  <c r="E10" i="29"/>
  <c r="E9" i="29"/>
  <c r="E8" i="29"/>
  <c r="E7" i="29"/>
  <c r="E6" i="29"/>
  <c r="E5" i="29"/>
  <c r="E4" i="29"/>
  <c r="E3" i="29"/>
  <c r="C2" i="29"/>
  <c r="E2" i="29" s="1"/>
  <c r="E12" i="29" s="1"/>
  <c r="I45" i="28"/>
  <c r="I44" i="28"/>
  <c r="I43" i="28"/>
  <c r="I42" i="28"/>
  <c r="I41" i="28"/>
  <c r="I40" i="28"/>
  <c r="I39" i="28"/>
  <c r="I46" i="28" s="1"/>
  <c r="I38" i="28"/>
  <c r="I37" i="28"/>
  <c r="Q34" i="28"/>
  <c r="I34" i="28"/>
  <c r="Q33" i="28"/>
  <c r="I33" i="28"/>
  <c r="Q32" i="28"/>
  <c r="I32" i="28"/>
  <c r="Q31" i="28"/>
  <c r="I31" i="28"/>
  <c r="Q30" i="28"/>
  <c r="I30" i="28"/>
  <c r="Q29" i="28"/>
  <c r="I29" i="28"/>
  <c r="Q28" i="28"/>
  <c r="I28" i="28"/>
  <c r="Q27" i="28"/>
  <c r="I27" i="28"/>
  <c r="Q26" i="28"/>
  <c r="I26" i="28"/>
  <c r="Q25" i="28"/>
  <c r="I25" i="28"/>
  <c r="Q24" i="28"/>
  <c r="I24" i="28"/>
  <c r="Q23" i="28"/>
  <c r="I23" i="28"/>
  <c r="Q22" i="28"/>
  <c r="I22" i="28"/>
  <c r="Q21" i="28"/>
  <c r="I21" i="28"/>
  <c r="Q20" i="28"/>
  <c r="I20" i="28"/>
  <c r="Q19" i="28"/>
  <c r="I19" i="28"/>
  <c r="Q18" i="28"/>
  <c r="I18" i="28"/>
  <c r="Q17" i="28"/>
  <c r="Q35" i="28" s="1"/>
  <c r="I17" i="28"/>
  <c r="Q16" i="28"/>
  <c r="I16" i="28"/>
  <c r="I35" i="28" s="1"/>
  <c r="E11" i="28"/>
  <c r="E10" i="28"/>
  <c r="E9" i="28"/>
  <c r="E8" i="28"/>
  <c r="E7" i="28"/>
  <c r="E6" i="28"/>
  <c r="E5" i="28"/>
  <c r="E4" i="28"/>
  <c r="E12" i="28" s="1"/>
  <c r="E3" i="28"/>
  <c r="E2" i="28"/>
  <c r="I49" i="27"/>
  <c r="I48" i="27"/>
  <c r="I47" i="27"/>
  <c r="I50" i="27" s="1"/>
  <c r="I51" i="27" s="1"/>
  <c r="I44" i="27"/>
  <c r="I43" i="27"/>
  <c r="I42" i="27"/>
  <c r="I41" i="27"/>
  <c r="I40" i="27"/>
  <c r="I39" i="27"/>
  <c r="I38" i="27"/>
  <c r="I37" i="27"/>
  <c r="I36" i="27"/>
  <c r="I35" i="27"/>
  <c r="I34" i="27"/>
  <c r="I33" i="27"/>
  <c r="P32" i="27"/>
  <c r="I32" i="27"/>
  <c r="P31" i="27"/>
  <c r="I31" i="27"/>
  <c r="P30" i="27"/>
  <c r="I30" i="27"/>
  <c r="P29" i="27"/>
  <c r="I29" i="27"/>
  <c r="P28" i="27"/>
  <c r="I28" i="27"/>
  <c r="P27" i="27"/>
  <c r="I27" i="27"/>
  <c r="P26" i="27"/>
  <c r="I26" i="27"/>
  <c r="P25" i="27"/>
  <c r="I25" i="27"/>
  <c r="P24" i="27"/>
  <c r="I24" i="27"/>
  <c r="P23" i="27"/>
  <c r="I23" i="27"/>
  <c r="P22" i="27"/>
  <c r="I22" i="27"/>
  <c r="P21" i="27"/>
  <c r="I21" i="27"/>
  <c r="P20" i="27"/>
  <c r="I20" i="27"/>
  <c r="P19" i="27"/>
  <c r="I19" i="27"/>
  <c r="P18" i="27"/>
  <c r="I18" i="27"/>
  <c r="I45" i="27" s="1"/>
  <c r="P17" i="27"/>
  <c r="I17" i="27"/>
  <c r="P16" i="27"/>
  <c r="P45" i="27" s="1"/>
  <c r="I16" i="27"/>
  <c r="E11" i="27"/>
  <c r="E10" i="27"/>
  <c r="E9" i="27"/>
  <c r="E8" i="27"/>
  <c r="E7" i="27"/>
  <c r="E6" i="27"/>
  <c r="E5" i="27"/>
  <c r="E4" i="27"/>
  <c r="E3" i="27"/>
  <c r="E2" i="27"/>
  <c r="E12" i="27" s="1"/>
  <c r="I45" i="26"/>
  <c r="I44" i="26"/>
  <c r="I43" i="26"/>
  <c r="I42" i="26"/>
  <c r="I41" i="26"/>
  <c r="I46" i="26" s="1"/>
  <c r="I47" i="26" s="1"/>
  <c r="P37" i="26"/>
  <c r="I37" i="26"/>
  <c r="P36" i="26"/>
  <c r="I36" i="26"/>
  <c r="P34" i="26"/>
  <c r="I34" i="26"/>
  <c r="P33" i="26"/>
  <c r="I33" i="26"/>
  <c r="P32" i="26"/>
  <c r="I32" i="26"/>
  <c r="P31" i="26"/>
  <c r="I31" i="26"/>
  <c r="P30" i="26"/>
  <c r="I30" i="26"/>
  <c r="P20" i="26"/>
  <c r="I20" i="26"/>
  <c r="P19" i="26"/>
  <c r="I19" i="26"/>
  <c r="P18" i="26"/>
  <c r="I18" i="26"/>
  <c r="P17" i="26"/>
  <c r="I17" i="26"/>
  <c r="P16" i="26"/>
  <c r="P38" i="26" s="1"/>
  <c r="P39" i="26" s="1"/>
  <c r="I16" i="26"/>
  <c r="P15" i="26"/>
  <c r="I15" i="26"/>
  <c r="I38" i="26" s="1"/>
  <c r="E10" i="26"/>
  <c r="E9" i="26"/>
  <c r="E8" i="26"/>
  <c r="E7" i="26"/>
  <c r="E6" i="26"/>
  <c r="E5" i="26"/>
  <c r="E4" i="26"/>
  <c r="E3" i="26"/>
  <c r="E11" i="26" s="1"/>
  <c r="E2" i="26"/>
  <c r="I40" i="25"/>
  <c r="I39" i="25"/>
  <c r="I38" i="25"/>
  <c r="I37" i="25"/>
  <c r="I36" i="25"/>
  <c r="I35" i="25"/>
  <c r="I34" i="25"/>
  <c r="I33" i="25"/>
  <c r="I32" i="25"/>
  <c r="I31" i="25"/>
  <c r="I30" i="25"/>
  <c r="P29" i="25"/>
  <c r="I29" i="25"/>
  <c r="P28" i="25"/>
  <c r="I28" i="25"/>
  <c r="P27" i="25"/>
  <c r="I27" i="25"/>
  <c r="P26" i="25"/>
  <c r="I26" i="25"/>
  <c r="P25" i="25"/>
  <c r="I25" i="25"/>
  <c r="P24" i="25"/>
  <c r="I24" i="25"/>
  <c r="P23" i="25"/>
  <c r="I23" i="25"/>
  <c r="P22" i="25"/>
  <c r="I22" i="25"/>
  <c r="P21" i="25"/>
  <c r="I21" i="25"/>
  <c r="P20" i="25"/>
  <c r="I20" i="25"/>
  <c r="P19" i="25"/>
  <c r="I19" i="25"/>
  <c r="P18" i="25"/>
  <c r="I18" i="25"/>
  <c r="P17" i="25"/>
  <c r="I17" i="25"/>
  <c r="C43" i="25" s="1"/>
  <c r="P16" i="25"/>
  <c r="I16" i="25"/>
  <c r="P15" i="25"/>
  <c r="P41" i="25" s="1"/>
  <c r="I15" i="25"/>
  <c r="I41" i="25" s="1"/>
  <c r="E10" i="25"/>
  <c r="E9" i="25"/>
  <c r="E8" i="25"/>
  <c r="E7" i="25"/>
  <c r="E6" i="25"/>
  <c r="E5" i="25"/>
  <c r="E4" i="25"/>
  <c r="E3" i="25"/>
  <c r="C2" i="25"/>
  <c r="E2" i="25" s="1"/>
  <c r="E11" i="25" s="1"/>
  <c r="I38" i="24"/>
  <c r="I37" i="24"/>
  <c r="I36" i="24"/>
  <c r="I35" i="24"/>
  <c r="I34" i="24"/>
  <c r="I33" i="24"/>
  <c r="I32" i="24"/>
  <c r="I31" i="24"/>
  <c r="I30" i="24"/>
  <c r="I29" i="24"/>
  <c r="I28" i="24"/>
  <c r="I27" i="24"/>
  <c r="I26" i="24"/>
  <c r="I25" i="24"/>
  <c r="I24" i="24"/>
  <c r="I23" i="24"/>
  <c r="I22" i="24"/>
  <c r="I21" i="24"/>
  <c r="I20" i="24"/>
  <c r="I19" i="24"/>
  <c r="I18" i="24"/>
  <c r="I17" i="24"/>
  <c r="I16" i="24"/>
  <c r="I15" i="24"/>
  <c r="I39" i="24" s="1"/>
  <c r="C42" i="24" s="1"/>
  <c r="I14" i="24"/>
  <c r="C41" i="24" s="1"/>
  <c r="E10" i="24"/>
  <c r="E9" i="24"/>
  <c r="E8" i="24"/>
  <c r="E7" i="24"/>
  <c r="E6" i="24"/>
  <c r="E5" i="24"/>
  <c r="E4" i="24"/>
  <c r="E11" i="24" s="1"/>
  <c r="E3" i="24"/>
  <c r="E2" i="24"/>
  <c r="E25" i="23"/>
  <c r="E24" i="23"/>
  <c r="E23" i="23"/>
  <c r="E22" i="23"/>
  <c r="E21" i="23"/>
  <c r="E20" i="23"/>
  <c r="E19" i="23"/>
  <c r="E18" i="23"/>
  <c r="E17" i="23"/>
  <c r="E16" i="23"/>
  <c r="E15" i="23"/>
  <c r="E14" i="23"/>
  <c r="E13" i="23"/>
  <c r="E12" i="23"/>
  <c r="E11" i="23"/>
  <c r="E10" i="23"/>
  <c r="E9" i="23"/>
  <c r="E8" i="23"/>
  <c r="E7" i="23"/>
  <c r="E6" i="23"/>
  <c r="E5" i="23"/>
  <c r="E4" i="23"/>
  <c r="E3" i="23"/>
  <c r="E2" i="23"/>
  <c r="E26" i="23" s="1"/>
  <c r="E25" i="22"/>
  <c r="E24" i="22"/>
  <c r="E23" i="22"/>
  <c r="E22" i="22"/>
  <c r="E21" i="22"/>
  <c r="E20" i="22"/>
  <c r="E19" i="22"/>
  <c r="E18" i="22"/>
  <c r="E17" i="22"/>
  <c r="E16" i="22"/>
  <c r="E15" i="22"/>
  <c r="E14" i="22"/>
  <c r="E13" i="22"/>
  <c r="E12" i="22"/>
  <c r="E11" i="22"/>
  <c r="E10" i="22"/>
  <c r="E9" i="22"/>
  <c r="E8" i="22"/>
  <c r="E7" i="22"/>
  <c r="E6" i="22"/>
  <c r="E5" i="22"/>
  <c r="E4" i="22"/>
  <c r="E3" i="22"/>
  <c r="E2" i="22"/>
  <c r="E26" i="22" s="1"/>
  <c r="E17" i="21"/>
  <c r="E16" i="21"/>
  <c r="E15" i="21"/>
  <c r="E14" i="21"/>
  <c r="E13" i="21"/>
  <c r="E12" i="21"/>
  <c r="E11" i="21"/>
  <c r="E10" i="21"/>
  <c r="E9" i="21"/>
  <c r="E8" i="21"/>
  <c r="E7" i="21"/>
  <c r="E6" i="21"/>
  <c r="E5" i="21"/>
  <c r="E4" i="21"/>
  <c r="E3" i="21"/>
  <c r="E2" i="21"/>
  <c r="E18" i="21" s="1"/>
  <c r="E20" i="20"/>
  <c r="E19" i="20"/>
  <c r="E18" i="20"/>
  <c r="E17" i="20"/>
  <c r="E16" i="20"/>
  <c r="E15" i="20"/>
  <c r="E14" i="20"/>
  <c r="E13" i="20"/>
  <c r="E12" i="20"/>
  <c r="E11" i="20"/>
  <c r="E10" i="20"/>
  <c r="E9" i="20"/>
  <c r="E8" i="20"/>
  <c r="E7" i="20"/>
  <c r="E6" i="20"/>
  <c r="E5" i="20"/>
  <c r="E4" i="20"/>
  <c r="E3" i="20"/>
  <c r="E2" i="20"/>
  <c r="E21" i="20" s="1"/>
  <c r="E9" i="19"/>
  <c r="E8" i="19"/>
  <c r="E7" i="19"/>
  <c r="E6" i="19"/>
  <c r="E5" i="19"/>
  <c r="E4" i="19"/>
  <c r="E10" i="19" s="1"/>
  <c r="E3" i="19"/>
  <c r="E2" i="19"/>
  <c r="E15" i="18"/>
  <c r="E14" i="18"/>
  <c r="E13" i="18"/>
  <c r="E12" i="18"/>
  <c r="E11" i="18"/>
  <c r="E10" i="18"/>
  <c r="E9" i="18"/>
  <c r="E8" i="18"/>
  <c r="E7" i="18"/>
  <c r="E6" i="18"/>
  <c r="E5" i="18"/>
  <c r="E4" i="18"/>
  <c r="E16" i="18" s="1"/>
  <c r="E3" i="18"/>
  <c r="E2" i="18"/>
  <c r="E16" i="17"/>
  <c r="E15" i="17"/>
  <c r="E14" i="17"/>
  <c r="E13" i="17"/>
  <c r="E12" i="17"/>
  <c r="E11" i="17"/>
  <c r="E10" i="17"/>
  <c r="E9" i="17"/>
  <c r="E8" i="17"/>
  <c r="E7" i="17"/>
  <c r="E6" i="17"/>
  <c r="E5" i="17"/>
  <c r="E4" i="17"/>
  <c r="E3" i="17"/>
  <c r="E2" i="17"/>
  <c r="E17" i="17" s="1"/>
  <c r="A15" i="16"/>
  <c r="E12" i="16"/>
  <c r="E11" i="16"/>
  <c r="E10" i="16"/>
  <c r="E9" i="16"/>
  <c r="E8" i="16"/>
  <c r="E7" i="16"/>
  <c r="E6" i="16"/>
  <c r="E5" i="16"/>
  <c r="E4" i="16"/>
  <c r="E3" i="16"/>
  <c r="E2" i="16"/>
  <c r="E13" i="16" s="1"/>
  <c r="E13" i="15"/>
  <c r="E12" i="15"/>
  <c r="E11" i="15"/>
  <c r="E10" i="15"/>
  <c r="E9" i="15"/>
  <c r="E8" i="15"/>
  <c r="E7" i="15"/>
  <c r="E6" i="15"/>
  <c r="E5" i="15"/>
  <c r="E4" i="15"/>
  <c r="E3" i="15"/>
  <c r="E2" i="15"/>
  <c r="E14" i="15" s="1"/>
  <c r="E8" i="14"/>
  <c r="E7" i="14"/>
  <c r="E6" i="14"/>
  <c r="E9" i="14" s="1"/>
  <c r="E5" i="14"/>
  <c r="E4" i="14"/>
  <c r="E3" i="14"/>
  <c r="E2" i="14"/>
  <c r="E4" i="13"/>
  <c r="E5" i="13" s="1"/>
  <c r="E3" i="13"/>
  <c r="E2" i="13"/>
  <c r="E6" i="12"/>
  <c r="E5" i="12"/>
  <c r="E4" i="12"/>
  <c r="E7" i="12" s="1"/>
  <c r="E3" i="12"/>
  <c r="E2" i="12"/>
  <c r="E7" i="11"/>
  <c r="E6" i="11"/>
  <c r="E5" i="11"/>
  <c r="E4" i="11"/>
  <c r="E3" i="11"/>
  <c r="E2" i="11"/>
  <c r="E8" i="11" s="1"/>
  <c r="E38" i="10"/>
  <c r="E37" i="10"/>
  <c r="E36" i="10"/>
  <c r="E35" i="10"/>
  <c r="E34" i="10"/>
  <c r="E33" i="10"/>
  <c r="E32" i="10"/>
  <c r="E31" i="10"/>
  <c r="E30" i="10"/>
  <c r="E29" i="10"/>
  <c r="E28" i="10"/>
  <c r="E39" i="10" s="1"/>
  <c r="E23" i="10"/>
  <c r="D22" i="10"/>
  <c r="E21" i="10"/>
  <c r="E20" i="10"/>
  <c r="E19" i="10"/>
  <c r="E18" i="10"/>
  <c r="E17" i="10"/>
  <c r="E16" i="10"/>
  <c r="E15" i="10"/>
  <c r="E14" i="10"/>
  <c r="E13" i="10"/>
  <c r="E12" i="10"/>
  <c r="E11" i="10"/>
  <c r="E10" i="10"/>
  <c r="E9" i="10"/>
  <c r="E8" i="10"/>
  <c r="E7" i="10"/>
  <c r="E6" i="10"/>
  <c r="E5" i="10"/>
  <c r="E4" i="10"/>
  <c r="E3" i="10"/>
  <c r="E2" i="10"/>
  <c r="E22" i="10" s="1"/>
  <c r="F4" i="9"/>
  <c r="F3" i="9"/>
  <c r="F2" i="9"/>
  <c r="F5" i="9" s="1"/>
  <c r="F6" i="8"/>
  <c r="F5" i="8"/>
  <c r="F4" i="8"/>
  <c r="F3" i="8"/>
  <c r="F2" i="8"/>
  <c r="F7" i="8" s="1"/>
  <c r="F6" i="7"/>
  <c r="F5" i="7"/>
  <c r="F4" i="7"/>
  <c r="F3" i="7"/>
  <c r="F7" i="7" s="1"/>
  <c r="F11" i="6"/>
  <c r="F10" i="6"/>
  <c r="F9" i="6"/>
  <c r="F8" i="6"/>
  <c r="F7" i="6"/>
  <c r="F5" i="6"/>
  <c r="F4" i="6"/>
  <c r="F3" i="6"/>
  <c r="F2" i="6"/>
  <c r="F6" i="5"/>
  <c r="F5" i="5"/>
  <c r="F4" i="5"/>
  <c r="F7" i="5" s="1"/>
  <c r="F3" i="5"/>
  <c r="F2" i="5"/>
  <c r="F9" i="4"/>
  <c r="F8" i="4"/>
  <c r="F7" i="4"/>
  <c r="F6" i="4"/>
  <c r="F5" i="4"/>
  <c r="F4" i="4"/>
  <c r="F10" i="4" s="1"/>
  <c r="F3" i="4"/>
  <c r="F3" i="3"/>
  <c r="F2" i="3"/>
  <c r="F4" i="3" s="1"/>
  <c r="I47" i="28" l="1"/>
  <c r="I50" i="29"/>
  <c r="C44" i="25"/>
  <c r="E12" i="34"/>
  <c r="I109" i="33"/>
  <c r="Q44"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tc={be5d33ef-de10-473f-b9af-19438d10119c}</author>
  </authors>
  <commentList>
    <comment ref="B4" authorId="0" shapeId="0" xr:uid="{BE5D33EF-DE10-473F-B9AF-19438D10119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The admin panel does not check access rights to read fields, this is a potential security weakness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tc={72974113-bea5-4dd1-9411-a2304e6f7b0e}</author>
    <author>tc={a8ed1537-11e6-40e7-b1b9-0d868b01981d}</author>
  </authors>
  <commentList>
    <comment ref="F8" authorId="0" shapeId="0" xr:uid="{72974113-BEA5-4DD1-9411-A2304E6F7B0E}">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In GitHub
</t>
        </r>
      </text>
    </comment>
    <comment ref="B12" authorId="1" shapeId="0" xr:uid="{A8ED1537-11E6-40E7-B1B9-0D868B01981D}">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It would be good for us to explain here that we can either use usd_amount or coin_amount. The example should not show both options in the same schema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tc={5b696e3d-acb2-4a00-8047-5cbdccebae53}</author>
  </authors>
  <commentList>
    <comment ref="B23" authorId="0" shapeId="0" xr:uid="{5B696E3D-ACB2-4A00-8047-5CBDCCEBAE53}">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On the prod bps01-prd-sjo, at the time the transaction was sent, there was a lag in blocks due to the fact that before that, in the period from 0:00 to 10:00 UTC, the system did not work, there was no collection of logs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tc={4ebf21ea-e326-47f9-b48a-39fb4663e804}</author>
    <author>tc={384f415f-e7f1-46d5-be99-ea6ad0693c14}</author>
    <author>tc={598fc286-1042-47ac-afb6-c53fb45753c0}</author>
    <author>tc={7f97fed1-cf01-4d9a-aec3-51187d74d5d7}</author>
  </authors>
  <commentList>
    <comment ref="B2" authorId="0" shapeId="0" xr:uid="{4EBF21EA-E326-47F9-B48A-39FB4663E80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Make a common repository that will accept a model for blocks and a model for transactions
Make a general block scanner, because... The logic for downloading blocks is the same, only the model names differ
Create a common interface for interaction with the node, because they run on top of web3
</t>
        </r>
      </text>
    </comment>
    <comment ref="B12" authorId="1" shapeId="0" xr:uid="{384F415F-E7F1-46D5-BE99-EA6AD0693C14}">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Often people request a deposit, for example, in USDT Ethereum, and replenish the deposit in ETH. William wants to be able to count these payments.
To do this, we add the ability for the administrator to make a replacement (Replace). To do this, on the deposits page, the admin must click Details, and in the window that opens, click Replace.
</t>
        </r>
      </text>
    </comment>
    <comment ref="B14" authorId="2" shapeId="0" xr:uid="{598FC286-1042-47AC-AFB6-C53FB45753C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Total: the problem is in the node, namely in the version of the node. Calling the eth_getBlockByNumber method returns different results: in the new version, gasPrice is equal to maxPriorityFeePerGas, in the old version, gasPrice is exactly the final price for gas. The correction is as follows: take the effectiveGasPrice value from the result of calling the eth_getTransactionReceipt method as the final gas price (the result is the same in two versions)
</t>
        </r>
      </text>
    </comment>
    <comment ref="B21" authorId="3" shapeId="0" xr:uid="{7F97FED1-CF01-4D9A-AEC3-51187D74D5D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Add:
Ethereum USDC
Ethereum SHIB
Ethereum LINK
Ethereum TUSD
Ethereum PYUSD
Binance BUSD
Delete:
BNB-Peg Bitcoin
BNB-Peg-Ethereum
BNB-USDT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tc={f1a1b1d7-629c-4a3e-a06d-aae98a0efb77}</author>
  </authors>
  <commentList>
    <comment ref="F24" authorId="0" shapeId="0" xr:uid="{F1A1B1D7-629C-4A3E-A06D-AAE98A0EFB77}">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to 16.05 we have used 40 hours, if everything goes according to the positive scenario, we will need another 60 hours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tc={a70ab797-7550-43ac-acd6-4e82f6fc362c}</author>
  </authors>
  <commentList>
    <comment ref="F30" authorId="0" shapeId="0" xr:uid="{A70AB797-7550-43AC-ACD6-4E82F6FC362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If it is exist in the system
</t>
        </r>
      </text>
    </comment>
  </commentList>
</comments>
</file>

<file path=xl/sharedStrings.xml><?xml version="1.0" encoding="utf-8"?>
<sst xmlns="http://schemas.openxmlformats.org/spreadsheetml/2006/main" count="2359" uniqueCount="861">
  <si>
    <t>Task</t>
  </si>
  <si>
    <t>Estimate Hours</t>
  </si>
  <si>
    <t>Estimate Amount, $</t>
  </si>
  <si>
    <t>Actual hours</t>
  </si>
  <si>
    <t>Final price, $</t>
  </si>
  <si>
    <t>Status</t>
  </si>
  <si>
    <t>Update Bitcoin to use Segwit Address (compatible with MW and BIP32 we currently use to create address)</t>
  </si>
  <si>
    <t>Use Extended Public Key to generate next available deposit address for Cold storage (Eliminates the need for uploading addresses, keep track of unused address, reduce errors)</t>
  </si>
  <si>
    <t>optimize watching adrresses</t>
  </si>
  <si>
    <t>Legacy to EIP1559 (can't change from the GUI)</t>
  </si>
  <si>
    <t>Reset 2FA for merhant from admin pannel</t>
  </si>
  <si>
    <t>№</t>
  </si>
  <si>
    <t>Employee</t>
  </si>
  <si>
    <t>Price $/hour</t>
  </si>
  <si>
    <t>Alexey (Lead PM)</t>
  </si>
  <si>
    <t>Max (PM)</t>
  </si>
  <si>
    <t>Kostya (Analytic)</t>
  </si>
  <si>
    <t>Philipp (Lead)</t>
  </si>
  <si>
    <t>Backend developer 1</t>
  </si>
  <si>
    <t>Backend developer 2</t>
  </si>
  <si>
    <t>Frontend developer 1</t>
  </si>
  <si>
    <t>Designer</t>
  </si>
  <si>
    <t>Actual</t>
  </si>
  <si>
    <t>Estimation</t>
  </si>
  <si>
    <t>PM, Analytic</t>
  </si>
  <si>
    <t>Lead PM</t>
  </si>
  <si>
    <t>Lead</t>
  </si>
  <si>
    <t>Backend developer</t>
  </si>
  <si>
    <t>Frontend developer</t>
  </si>
  <si>
    <t>Actual price, $</t>
  </si>
  <si>
    <t>Estimate price, $</t>
  </si>
  <si>
    <t>done</t>
  </si>
  <si>
    <t>-</t>
  </si>
  <si>
    <t>MPC</t>
  </si>
  <si>
    <t>Runbook</t>
  </si>
  <si>
    <t>Testing</t>
  </si>
  <si>
    <t>Technical stuff</t>
  </si>
  <si>
    <t>Subtotal</t>
  </si>
  <si>
    <t>Total</t>
  </si>
  <si>
    <t>#</t>
  </si>
  <si>
    <t>Study Vladimir's code, setup dev and test environments. Add 2FA (backend and frontend).</t>
  </si>
  <si>
    <t>Done</t>
  </si>
  <si>
    <t>Rewrite the docker files and deployemnt scripts. Deploy on the new server</t>
  </si>
  <si>
    <t>epic</t>
  </si>
  <si>
    <t>EPIC - ERC20</t>
  </si>
  <si>
    <t>Add datastructure for storing data about tokens. Allow to query backend for the data</t>
  </si>
  <si>
    <t>Add REST for CUD operations for the new data about tokens</t>
  </si>
  <si>
    <t>Add database migration for ERC20 tokens</t>
  </si>
  <si>
    <t>Add support to the frontend for the new backend methods</t>
  </si>
  <si>
    <t>Make changes to trezorGetAddresses, trezorDistribute,trezorSweep</t>
  </si>
  <si>
    <t>Sweep not ready</t>
  </si>
  <si>
    <t>Change components on the existing forms to add support for adding and removing ERC20</t>
  </si>
  <si>
    <t>Add forms to support working with ERC20 lists (add admin interface to add, update,delete ERC20)</t>
  </si>
  <si>
    <t>Total:</t>
  </si>
  <si>
    <t xml:space="preserve">Implement sweep for trezor and seed. </t>
  </si>
  <si>
    <t>Improve usability (Mockups - ERC-20, check balances for all coins)</t>
  </si>
  <si>
    <t>on approval</t>
  </si>
  <si>
    <t>Documentation and testing</t>
  </si>
  <si>
    <t xml:space="preserve">In progress </t>
  </si>
  <si>
    <t>Adding Binance Smartchain</t>
  </si>
  <si>
    <t>In progress (Trezor-Sweep doesn't work on BSC)</t>
  </si>
  <si>
    <t>Fixing custom path</t>
  </si>
  <si>
    <t>Documentation and testing. Adding technical description</t>
  </si>
  <si>
    <t>move to Sprint 5</t>
  </si>
  <si>
    <t xml:space="preserve">Make Trezor - Sweep for BSC </t>
  </si>
  <si>
    <t>Test system with big numbers</t>
  </si>
  <si>
    <t>Bugs</t>
  </si>
  <si>
    <t>Admin - Coins</t>
  </si>
  <si>
    <t xml:space="preserve">Remove 'Type' and add new logic in "Network" + Network combobox should be in the top
 </t>
  </si>
  <si>
    <t xml:space="preserve">Add Ability to changing nodes (websocket). Add new UI for adding networks, design data base, crate data base.
Add field coin symbol. For Admin Add "Chain ID", "Gas limit", "IP node's", "Number of last block" </t>
  </si>
  <si>
    <t>Add precalculating Gas limit</t>
  </si>
  <si>
    <t>New logic for Naming. Banned to create the tokens with same names and 
automatically adding prefix of the network. Implement for backend and DB. Implement migration</t>
  </si>
  <si>
    <t>Posponed</t>
  </si>
  <si>
    <t>New fixes for custom path</t>
  </si>
  <si>
    <t>Bug: Fix fork in sweep</t>
  </si>
  <si>
    <t>Base Coin</t>
  </si>
  <si>
    <t>50, 51</t>
  </si>
  <si>
    <t>Improve Gas</t>
  </si>
  <si>
    <t>Improve usability (Mockups - ERC-20, check balances for all coins, add new logic far naming tokens)</t>
  </si>
  <si>
    <t>Pause</t>
  </si>
  <si>
    <t>Seed / Sweep calculating gas incorrectly (Gas limit) Analytics</t>
  </si>
  <si>
    <t>Defining gas limit (parse our type transactions (10 last) from etherscan, take maximum and add 10% to this amount)</t>
  </si>
  <si>
    <t>2fa improve security: automatically redirect to login page</t>
  </si>
  <si>
    <t>Naming and sorting</t>
  </si>
  <si>
    <t>EIP 1559</t>
  </si>
  <si>
    <t>Done, except trezor</t>
  </si>
  <si>
    <t>Fix bugs on prod, updating</t>
  </si>
  <si>
    <t>Investigation precalculating with node</t>
  </si>
  <si>
    <t>In progress</t>
  </si>
  <si>
    <t>Fix bitcoinjs-lib usage in blockchain service</t>
  </si>
  <si>
    <t>Fix withdraw tests</t>
  </si>
  <si>
    <t>Fix deposit processing</t>
  </si>
  <si>
    <t>Fix static code analysis tool used to flag programming errors</t>
  </si>
  <si>
    <t>Updating info about currencies (main/test)</t>
  </si>
  <si>
    <t>Using numeric id instead of uuid</t>
  </si>
  <si>
    <t>Refactoring tests</t>
  </si>
  <si>
    <t>Refactoring transfer chain processing</t>
  </si>
  <si>
    <t>Adding new tests to cover important use cases</t>
  </si>
  <si>
    <t>Adding system health check and failure notification</t>
  </si>
  <si>
    <t>Adding sending notification for each deposit and withdraw</t>
  </si>
  <si>
    <t>Deploying the crypto-payments project on the target machine, fixing some bugs/errors</t>
  </si>
  <si>
    <t>Fix multiple kafka consumers</t>
  </si>
  <si>
    <t>Fix decline withdraw notifications</t>
  </si>
  <si>
    <t>Fix bookkeeper withdraw/deposit tests</t>
  </si>
  <si>
    <t>Fix in merchant-api</t>
  </si>
  <si>
    <t>Fix sighashtype/change processing/addressToScript for testnet bitcoin network</t>
  </si>
  <si>
    <t>Fix withdraw strategies</t>
  </si>
  <si>
    <t>Refactor blockchain boostrapping code</t>
  </si>
  <si>
    <t>Extend GraphQL API</t>
  </si>
  <si>
    <t>New Total</t>
  </si>
  <si>
    <t>Improvement tasks</t>
  </si>
  <si>
    <t>Translation of code (partailly bookeeper and blockchain service) into a typed programming language TypeScript</t>
  </si>
  <si>
    <t>Transferring Ethereum to Goerli testnet (POW)</t>
  </si>
  <si>
    <t>Fix transfer getting completed for manual withdraws</t>
  </si>
  <si>
    <t>Make it possible to choose - either to repeat the failed hot payout, or to make a manual payout + front for repeating failed</t>
  </si>
  <si>
    <t>Make new logic for calculating the balance of blockchain accounts to fix desynchronization of balances</t>
  </si>
  <si>
    <t>Fix ethereum &amp; BSC work fail which causes the system to stop</t>
  </si>
  <si>
    <t>Wrong wallet selected during hot withdrawal</t>
  </si>
  <si>
    <t>Fix the problem of two hot payout with the same sender and reciever</t>
  </si>
  <si>
    <t>Fix the problem of non-deterministic payout processing</t>
  </si>
  <si>
    <t>Fix system fail due to lack of balance during hot withdrawal</t>
  </si>
  <si>
    <t>Discord hooks, grafana (healhcheck beginning)</t>
  </si>
  <si>
    <t>New logic for the deposits</t>
  </si>
  <si>
    <t>Updating rate in the moment of receiving funds</t>
  </si>
  <si>
    <t>Calculate wallets funds, make Properties column, make Funds coloumn</t>
  </si>
  <si>
    <t>Make new page with the comparing balances and wallets funds (only mock-ups in Sprint 2)</t>
  </si>
  <si>
    <t>Mock-ups</t>
  </si>
  <si>
    <t>Hot payout issue</t>
  </si>
  <si>
    <t>In process</t>
  </si>
  <si>
    <t>Add extended public key and dereviation path to the deposit info window for the admin</t>
  </si>
  <si>
    <t>Ability to download active addresses</t>
  </si>
  <si>
    <t>optimization and refactoring loading process</t>
  </si>
  <si>
    <t>Integrate BPS with ZC</t>
  </si>
  <si>
    <t>Alerting</t>
  </si>
  <si>
    <t>Set up new fee source for ERC-20</t>
  </si>
  <si>
    <t>Fixes (cent to dollar in inputs Min,Max in Wallet-Edit,  auto remove excess symbols in Wallet-Add addresses, Ethereum node failed)</t>
  </si>
  <si>
    <t>Account Extended Public Key for  ETH - xpub bip44 , BTC - ypub bip49 + validation</t>
  </si>
  <si>
    <t>Segwit Wrapped BTC for payout (implement signing trxes)</t>
  </si>
  <si>
    <t>Edit Wallets page (new coloumns, add searh, filters)</t>
  </si>
  <si>
    <t>Add sums in dollars to the Indicators page, add favicon, fix refresh button on the Pending Payout page, add breadcrumb for user edit, edit text in tooltip threshold, fix accuracy bug</t>
  </si>
  <si>
    <t>Security improvement. Checking permissions in GraphQL</t>
  </si>
  <si>
    <t>Check isolation level for generating accounts from hierarchical keys</t>
  </si>
  <si>
    <t>Race condition when editing merchant settings</t>
  </si>
  <si>
    <t>Display the reason for the fall of the transaction on the interface on the Pending Payout page</t>
  </si>
  <si>
    <t xml:space="preserve">Change logics for the calculating virtual balances, balance synchronizer, </t>
  </si>
  <si>
    <t>make doc about "Pending payout and Failed transfers</t>
  </si>
  <si>
    <t>Reconnect to the node</t>
  </si>
  <si>
    <t>Admin creating issue</t>
  </si>
  <si>
    <t>Improvement of Integration BPS with ZC (Deposit only)</t>
  </si>
  <si>
    <t>Investigation the issue ETH payout on the stage</t>
  </si>
  <si>
    <t>28(12)</t>
  </si>
  <si>
    <t>Rewrite admin's microservice to TS</t>
  </si>
  <si>
    <t>Using nice-gRPC for bookkeeper microservice</t>
  </si>
  <si>
    <t>Add input for the coins to the Deposit, Payout</t>
  </si>
  <si>
    <t>POST;GET /payout + deposit API update</t>
  </si>
  <si>
    <t>Prohibition of creating payouts to deposit addresses</t>
  </si>
  <si>
    <t>trace_id comes to webhook with null value</t>
  </si>
  <si>
    <t>BPS is kicking user out very quickly from login</t>
  </si>
  <si>
    <t>Change DataDog to GrayLog</t>
  </si>
  <si>
    <t>Monitoring. Collecting traces with Opentelemetry (monitor possible optimize codebase)</t>
  </si>
  <si>
    <t>Monitoring. State of microservices</t>
  </si>
  <si>
    <t>Add a callback when Payout was moved in hot processing</t>
  </si>
  <si>
    <t xml:space="preserve">Monitoring. Logging requests with axios </t>
  </si>
  <si>
    <t>Monitoring. Collection request metrics from the node</t>
  </si>
  <si>
    <t>Change the scenario of the errror duplicate transfers, when the last transfer was decline we shouldn't take into account it</t>
  </si>
  <si>
    <t>Health monitor page</t>
  </si>
  <si>
    <t>Declined</t>
  </si>
  <si>
    <t>make real balance coloumn in wallets + refresh button</t>
  </si>
  <si>
    <t>Create doc for Telemetry and Grafana, update deploy script?</t>
  </si>
  <si>
    <t>Add hash for the payout which in SENT status</t>
  </si>
  <si>
    <t>Edit Deposit api</t>
  </si>
  <si>
    <t>Add a check against double processing so that there is no double addition of amounts. Sending to Kafka with Outbox Table. Without it rare inner events can be processed twice - for example doubling deposit</t>
  </si>
  <si>
    <t>ETH processing problems : replacement transaction underpriced</t>
  </si>
  <si>
    <t>Issue: BSC Scanner Loops Due to Forks</t>
  </si>
  <si>
    <t>Update, resolve RAM issue</t>
  </si>
  <si>
    <t>Add a signature for callbacks</t>
  </si>
  <si>
    <t>35 (18)</t>
  </si>
  <si>
    <t>Monitoring. Discord hooks from grafana about nodejs service health-state</t>
  </si>
  <si>
    <t>Request+hooks informativity improvement</t>
  </si>
  <si>
    <t>Errors when handling events in bookkeeper</t>
  </si>
  <si>
    <t xml:space="preserve">Frontend fixes: layout breaks on Wallet - New Wallet when selecting multiple admins; Pending payout page - Table headers jump on reload; </t>
  </si>
  <si>
    <t>Restrict to use one adddress in different formats (ETH)</t>
  </si>
  <si>
    <t>Fix ETH error "Transaction was not mined within 50 blocks" - if it got into the network, then we make the status pending and do not give it to manual - we wait. If gently, you can manually increase the nonce</t>
  </si>
  <si>
    <t xml:space="preserve">investigated issue with BTC node </t>
  </si>
  <si>
    <t>Made instruction how install BPS</t>
  </si>
  <si>
    <t>Offchain deposit</t>
  </si>
  <si>
    <t>Choosing a wallet with the closest balance, the same as the payout amount</t>
  </si>
  <si>
    <t>JSON for currencies instead currency.db microservice</t>
  </si>
  <si>
    <t>Check packages for vulnerabilities</t>
  </si>
  <si>
    <t>Parallel payouts (BTC with 10 sec delay)</t>
  </si>
  <si>
    <t>Add errors descriptions when trx fall into manual payout</t>
  </si>
  <si>
    <t xml:space="preserve">Fix wallet balance, restrict make a payout to the payout addresses </t>
  </si>
  <si>
    <t>Add new gas source - Etherscan</t>
  </si>
  <si>
    <t>Create postman collection for auto test</t>
  </si>
  <si>
    <t>Imrove node.js version (from 14 to 16)</t>
  </si>
  <si>
    <t>Blockchain service stabilization</t>
  </si>
  <si>
    <t>Bookkeeper service stabilization</t>
  </si>
  <si>
    <t>Using a JSON file for a currency database instead of SQLite</t>
  </si>
  <si>
    <t>Add info about receiver address to the Payouts page</t>
  </si>
  <si>
    <t>Force feauture</t>
  </si>
  <si>
    <t>Add to the force window current max fee + amount in coins</t>
  </si>
  <si>
    <t>Set DF, PF, MF for specific merchant for specific currency</t>
  </si>
  <si>
    <t>Imrove force - add ability to change merchant fee in force window</t>
  </si>
  <si>
    <t>Add new coloumns and filters to Payots table (Type, Status ; type, max fee, mercahn fee in %)</t>
  </si>
  <si>
    <t>Small fixes (add link to the graylog into details window on the Failed transfers page; edit transaltions; fix ETH USDT; make Tools-Wallets-Add address in alphabetic order; change calculation of the amount in the Reports-Payouts; disable discord about quantity of the deposits addresses; enable/disable RBF; fix issue on the Payout page; investigate why logs didn't work; logs analyze; add coloumns ID, Trace ID and serch field in the Deposits, Payouts pages; Max Fee for USDT (Ethereum) wrong; Hung transactions alerts; Max Fee value Fluctuates with market conditions; Error "has no matching Address" in Bitcoin</t>
  </si>
  <si>
    <t>Check and fix work with LTC, BCH</t>
  </si>
  <si>
    <t>Investigate issue with the wallets balance, create log scrypt</t>
  </si>
  <si>
    <t>Fixing linter warnings</t>
  </si>
  <si>
    <t>Change order in the Payouts and Deposits page, add new columns - Block, Time</t>
  </si>
  <si>
    <t>Fix issue "has no matching Address"  in Bitcoin, updated library</t>
  </si>
  <si>
    <t>Add ability to retry trx payout, which are in the Pending payout page because in the moment of payout where was no enough money on the hot wallet</t>
  </si>
  <si>
    <t xml:space="preserve">Make min fee for the BCH, LTC 1 satoshi </t>
  </si>
  <si>
    <t>Fix "Non-bip68 final" and other issues in BTC when payout on the stage</t>
  </si>
  <si>
    <t>Add discord hook about low balance on the hot wallet</t>
  </si>
  <si>
    <t>Investigate the isuse - trx don't reach the mempool</t>
  </si>
  <si>
    <t>Fix cold payout feature</t>
  </si>
  <si>
    <t>Move 2FA to header</t>
  </si>
  <si>
    <t>Merchant MaxFee % to MaxFee $</t>
  </si>
  <si>
    <t>Add Merchant should move moved from Users to Merchants page</t>
  </si>
  <si>
    <t>Choose Transaction Fee Priority</t>
  </si>
  <si>
    <t>Set up database backups</t>
  </si>
  <si>
    <t>Updating nice-grpc generated files</t>
  </si>
  <si>
    <t>Slow Payouts Page (delete option to show all trx on the one page, by default show only today trxs)</t>
  </si>
  <si>
    <t>Set gas limit in the config file for the Ethereum network + investigate the issue</t>
  </si>
  <si>
    <t>Issue investigation - Blockchain-worker Service Restarts Due to OOM</t>
  </si>
  <si>
    <t>Move Add addresses functionality to Wallets + add addresses in the moment of create the wallet</t>
  </si>
  <si>
    <t>Functional Tests for Bitcoin</t>
  </si>
  <si>
    <t>Decline failed trx, consolidate Pending payouts, Failed transfers pages</t>
  </si>
  <si>
    <t>Fix small issues</t>
  </si>
  <si>
    <t>Server maintenance</t>
  </si>
  <si>
    <t>Add an instant hook to the discord about failed transactions due to "Not enough funds on the wallet to pay out"</t>
  </si>
  <si>
    <t>Bug connection lost</t>
  </si>
  <si>
    <t>Add front and back versioning</t>
  </si>
  <si>
    <t>Balance Notifications Enhancement</t>
  </si>
  <si>
    <t>Work flow of the Manual Payout feature</t>
  </si>
  <si>
    <t>Balance no longer low</t>
  </si>
  <si>
    <t>Compact Discord Messages</t>
  </si>
  <si>
    <t>Instant discord hook for trx - Not enough balance, real fee is greater than max fee</t>
  </si>
  <si>
    <t>Bug: Transaction amount did not match during retry</t>
  </si>
  <si>
    <t>Activity log for the trxs (without open in window)</t>
  </si>
  <si>
    <t>Add more fields to Pending Payouts</t>
  </si>
  <si>
    <t>2 Decimal Points</t>
  </si>
  <si>
    <t>0 should not be blank value</t>
  </si>
  <si>
    <t>Force Bug Merchant 0%</t>
  </si>
  <si>
    <t>Event from Kafka was not processed</t>
  </si>
  <si>
    <t>Functional tests for Ethereum</t>
  </si>
  <si>
    <t>Blockchain synchronization monitoring</t>
  </si>
  <si>
    <t>Incorrect transaction status in discord hook</t>
  </si>
  <si>
    <t>Add a Force option for transactions that fell due to min relay fee not met 225&lt;226 (code 66)</t>
  </si>
  <si>
    <t>Fixed logs on the test site</t>
  </si>
  <si>
    <t>Fixed permission error (permission denied) on stage during update</t>
  </si>
  <si>
    <t>Fixed problem - when updating, images are successfully collected, but old images are launched</t>
  </si>
  <si>
    <t>Analysed of the problem, why the output of id 376 took a long time</t>
  </si>
  <si>
    <t>Investigate why the transaction was sent 2 times BTC</t>
  </si>
  <si>
    <t>Investigate why connection not establish error occurred for BTC</t>
  </si>
  <si>
    <t>Merge BSC and ETH code (optimization task)</t>
  </si>
  <si>
    <t>Functional tests for Ethereum - e2e tests (optimization task)</t>
  </si>
  <si>
    <t>Correct API response in case of incorrect address</t>
  </si>
  <si>
    <t>Snooze alerts if discord doesn't respond</t>
  </si>
  <si>
    <t>Merchant Add Manual Payout Boolean</t>
  </si>
  <si>
    <t>Creating a postman collection for load tests of deposits</t>
  </si>
  <si>
    <t>Batch Transactions BTC, BCH, LTC</t>
  </si>
  <si>
    <t>Setting up Init services for initial deployment</t>
  </si>
  <si>
    <t>Add Shortname for Merchs</t>
  </si>
  <si>
    <t>Moving to traefik</t>
  </si>
  <si>
    <t>Deposits: Handle wrong blockchain or token sent (ETH token)</t>
  </si>
  <si>
    <t>Make it possible to display versioning without nginx</t>
  </si>
  <si>
    <t>Investigating the "Incorrect ETH Fee" issue</t>
  </si>
  <si>
    <t>Add an option to restart containers in the script</t>
  </si>
  <si>
    <t>Add Tron BC</t>
  </si>
  <si>
    <t>Small fixes 1 (Investigating, why the blockchain service will restart in production; creating insturcions in .MD; Checking logs, why Binance is not working; fix error on the stage when going to the dashboard, Make logs in the window)</t>
  </si>
  <si>
    <t>Small fixes 2 (Investigating logs - 30 deposits were made for production, only 2 passed; Investigating issue in bps_deploy script running 7; Creating a remove currency script to remove a currency from the database, Change alert text Could not find account; Add 8 character limit for wallet nickname; Solving the problem with access rights on xhain; Add the ability to sort by time on the Payout page)</t>
  </si>
  <si>
    <t>Add a consaolidation fee column to the Deposits table</t>
  </si>
  <si>
    <t>Add search by transaction ID in Deposits and Payouts</t>
  </si>
  <si>
    <t>Add new currencies</t>
  </si>
  <si>
    <t>Create a Dashboard Page</t>
  </si>
  <si>
    <t>API Key managment and IP Whitelisting</t>
  </si>
  <si>
    <t>Track Consolidation fee</t>
  </si>
  <si>
    <t>Add Polygon BC</t>
  </si>
  <si>
    <t>Ksenia (Analytic)</t>
  </si>
  <si>
    <t>Create a doc for LadyLee</t>
  </si>
  <si>
    <t>Invoice design</t>
  </si>
  <si>
    <t>Check and fix transaction isolation</t>
  </si>
  <si>
    <t>Change the wallet name selection algorithm</t>
  </si>
  <si>
    <t>Color highlighting of sections correction</t>
  </si>
  <si>
    <t>Invoice Backend:</t>
  </si>
  <si>
    <t>Main invoice backend</t>
  </si>
  <si>
    <t>Sew up exchange rates in exchange service migration</t>
  </si>
  <si>
    <t>invoice &amp; deposits logs</t>
  </si>
  <si>
    <t>Invoices rates optimise</t>
  </si>
  <si>
    <t>Overpaid/underpaid transactions fix (invoices)</t>
  </si>
  <si>
    <t>Invoice Customer UI:</t>
  </si>
  <si>
    <t>Main invoice frontend</t>
  </si>
  <si>
    <t>QR code transfer url</t>
  </si>
  <si>
    <t>UI improvments</t>
  </si>
  <si>
    <t>check freezed rate</t>
  </si>
  <si>
    <t>Max Fee Improvements</t>
  </si>
  <si>
    <t>Invoice Admin UI:</t>
  </si>
  <si>
    <t>Main admin frontend</t>
  </si>
  <si>
    <t>Invoice BA</t>
  </si>
  <si>
    <t>Blockfils BA</t>
  </si>
  <si>
    <t>Smart accumulation BA</t>
  </si>
  <si>
    <t>Deposits: Handle wrong blockchain or token sent (BTC-BCH) BA</t>
  </si>
  <si>
    <t>Merchant Passthrough Fee BA</t>
  </si>
  <si>
    <t>Main tasks</t>
  </si>
  <si>
    <t>Additional tasks</t>
  </si>
  <si>
    <t xml:space="preserve">BA tasks from backlog </t>
  </si>
  <si>
    <t>Invoice alerts to the discord</t>
  </si>
  <si>
    <t>Create Invoice documentation</t>
  </si>
  <si>
    <t>Deposits: Handle wrong blockchain or token sent (BTC-BCH)</t>
  </si>
  <si>
    <t>Delete the time of the last batch in the wallet</t>
  </si>
  <si>
    <t>BLOCKFILLS: Merchant exchange Coin or Token automatically</t>
  </si>
  <si>
    <t>Created 100 deposits with exact coin amount</t>
  </si>
  <si>
    <t>Auto accumulation</t>
  </si>
  <si>
    <t>Moving the pending payouts section</t>
  </si>
  <si>
    <t>Update npm packages</t>
  </si>
  <si>
    <t>Download Transaction Details in CSV</t>
  </si>
  <si>
    <t>Scanners optimization of ethereum based blockchains</t>
  </si>
  <si>
    <t>Small technical stuff - 599) /packages/blockchain/src/commandHandlers/processTransactionHandler.js#L225 should be inside transaction
448) Ethereum's eth_getTransactionReceipt can goes to infinity recursion. Need to fix it. Solution - raised the version of the web3 library to 4.4
569) system doesn't work without Graylog. Big chance that we cannot handle it, but let's investigate. Result - we investigate a variants how better do it
604) Investigating the kafka issue when discord hooks are 0.5-1 hour late. Solution - subscribe to Kafka topics without using regex
609) Making block scanners separate services
602) Retry failed serializable trxs in blockchain service</t>
  </si>
  <si>
    <t>Add "actual fee" to logs // Max fee did not work for BTC transactions 11/29/2023</t>
  </si>
  <si>
    <t>Log user actions (only Front-end actions)</t>
  </si>
  <si>
    <t>Calculate GasLimit rather than using static 60k</t>
  </si>
  <si>
    <t>Integration WPB to BPS</t>
  </si>
  <si>
    <t>Deposit Address Upgrades</t>
  </si>
  <si>
    <t>Force Transaction when Mempool down</t>
  </si>
  <si>
    <t>Temporary Address more than 1 deposit</t>
  </si>
  <si>
    <t>BEAUTIFICATION 2024-02</t>
  </si>
  <si>
    <t>Add new logic of filter block</t>
  </si>
  <si>
    <t>Replace $xxxx.xx with xxxx.xx USD</t>
  </si>
  <si>
    <t>Change color of Network Fee</t>
  </si>
  <si>
    <t>Change date and time formatting</t>
  </si>
  <si>
    <t>Privacy of Extended key in Deposit Info</t>
  </si>
  <si>
    <t>% Merchant Fee add 1 decimal</t>
  </si>
  <si>
    <t>Refresh Button</t>
  </si>
  <si>
    <t>Short Name usage Improvements</t>
  </si>
  <si>
    <t>Date field is too small for current dates</t>
  </si>
  <si>
    <t>PAYOUTS/DEPOSITS: search by Address</t>
  </si>
  <si>
    <t>Manual exchange (Swap)</t>
  </si>
  <si>
    <t>Small technical staff</t>
  </si>
  <si>
    <t>BF Improvements</t>
  </si>
  <si>
    <t>Allowed currecies tables</t>
  </si>
  <si>
    <t>BF logic imrovements</t>
  </si>
  <si>
    <t>Subtotal:</t>
  </si>
  <si>
    <t>Added tasks</t>
  </si>
  <si>
    <t>Start of unification of system Exchange process for the possibility of expansion and connection of new exchange providers. Making basis in codebase according developped diagram of Exchange \ Swap processes</t>
  </si>
  <si>
    <t>Independence of the system from the exchange service + notification in discord, if ES not answered</t>
  </si>
  <si>
    <t>Pending and Failed Tabs do not refresh</t>
  </si>
  <si>
    <t>Login 2FA Mandatory to access web app</t>
  </si>
  <si>
    <t>Small fixes</t>
  </si>
  <si>
    <t>TOTAL:</t>
  </si>
  <si>
    <t>Backend developer 3</t>
  </si>
  <si>
    <t>Frontend developer 2</t>
  </si>
  <si>
    <t>REPORTS</t>
  </si>
  <si>
    <t>Running balance</t>
  </si>
  <si>
    <t>Deposit control (consolidator and admin view)</t>
  </si>
  <si>
    <t>Payout control</t>
  </si>
  <si>
    <t>Tags</t>
  </si>
  <si>
    <t>Consolidator assigning</t>
  </si>
  <si>
    <t xml:space="preserve">Add new user type Accountant, Consolidator </t>
  </si>
  <si>
    <t>System optimizations after high load tests</t>
  </si>
  <si>
    <t>Investigate USDT over TON</t>
  </si>
  <si>
    <t>Added 2FA securuty to any actions</t>
  </si>
  <si>
    <t xml:space="preserve">For API keys need to make a whitelist for requests </t>
  </si>
  <si>
    <t>Payout Pending Grouping + 2FA</t>
  </si>
  <si>
    <t>Small fixes:
231) Change 1:15' 34'' into 1h 15' 34''
236) Change the order of coin and USD
246) Fix sorting (the sorting sometimes swaps 2 rows)
710) Change delimiter from semicolon to comma
255) Fix layout (tools➝actions)
712) Prohibit to create offchain payouts in debt
635) Fix replace old transactions
727) Change the status for old extended transactions 
717) Handle deposit with BF exchange if pair isn't exist</t>
  </si>
  <si>
    <t>Small technical staff 
636) Javascript ➝ Typescript Users service
711) Save the reference currency for swaps
713) Add additional check for positive amounts in Bookkeeper service  
709) Optimization rate's requests
639) Javascript ➝ Typescript blockchain service
718) Save invoice address for running balance 
704) Broken balances after stress-test
701) Serialization issue
700) Parsing issue</t>
  </si>
  <si>
    <t>Manual Swap + add general logic from the diagram</t>
  </si>
  <si>
    <t>Process stucked pending transaction automatically if was already sent to node (Script of loading the BTC node)</t>
  </si>
  <si>
    <t>Fix download CSV (high load)</t>
  </si>
  <si>
    <t>Find the reason why is there a difference in deposits between WPB and BPS</t>
  </si>
  <si>
    <t>Issue: Payout for the one address</t>
  </si>
  <si>
    <t>Merchant View Updates (Payouts Remove Max Fee, Payouts Remove Logs, Tools Remove Actions, Payouts Remove Network Fee, Deposts Remove Consolidation Fee)</t>
  </si>
  <si>
    <t xml:space="preserve">Documentation </t>
  </si>
  <si>
    <t>Create services and containers technical documentation</t>
  </si>
  <si>
    <t>Create merchant guide</t>
  </si>
  <si>
    <t>Create admin guide (short)</t>
  </si>
  <si>
    <t>Add human-readable API error description</t>
  </si>
  <si>
    <t>Dashboard updates</t>
  </si>
  <si>
    <t>Expected amount in deposits</t>
  </si>
  <si>
    <t>BA new merchant PA</t>
  </si>
  <si>
    <t>Freeze Merchant Drop Down in Wallet (only Front-end)</t>
  </si>
  <si>
    <t>Merchant Passthrough Fee</t>
  </si>
  <si>
    <t>Small fixes
249) Add account id for deposit and payout creation tool and account id info to deposits, payouts and invoices pages. - done
735) Move and rename columns in CSV for deposits (“Amount of coins to transfer” should be renamed to “Expected amount” and placed to the left of “Coin”; “Address for transfer” should be renamed to “Deposit address” and placed to the left of “Hash”) - done
260) Change order of the USD and Coin in Base amount field in Swap table - done
751) Fix bch-17 wallet balance path - done
703) Delete incorrect using PositiveInt type from code -done
260) Reverse coin &amp; USD values ​​in base amount field in Swaps table
263) Add refresh button to tools-&gt;wallets section</t>
  </si>
  <si>
    <t>Сhange the order of the requests when we creating the wallet</t>
  </si>
  <si>
    <t>Handle accumulation when `extend` was used</t>
  </si>
  <si>
    <t>Fluctuating Coin and USD amount (Switch discord notifications about balance from USD to Coin)</t>
  </si>
  <si>
    <t>Highload payout optimization_1</t>
  </si>
  <si>
    <t>Issue 508 (tools/actions/manual payout :: USDT/Tron transfer fails)</t>
  </si>
  <si>
    <t>Add EVM BCs smart contract support</t>
  </si>
  <si>
    <t>In process (from sprint 30 )</t>
  </si>
  <si>
    <t>Sprint 28 fixes</t>
  </si>
  <si>
    <t>Delete info about payouts from the Consolidator 's"totals" window</t>
  </si>
  <si>
    <t>Swap Confirmation</t>
  </si>
  <si>
    <t>Add an update button to the tools-&gt;wallets section</t>
  </si>
  <si>
    <t>Avalanche C BC (only coin)</t>
  </si>
  <si>
    <t>Avalanche X BC (only coin)</t>
  </si>
  <si>
    <t>Highload payout optimization_2</t>
  </si>
  <si>
    <t>Cordano BC (only coin)</t>
  </si>
  <si>
    <t>Add Multiple choice to the filters</t>
  </si>
  <si>
    <t>Graylog Distiguish Long Term records from Short Term</t>
  </si>
  <si>
    <t>The settings section</t>
  </si>
  <si>
    <t>Show offchain deposits/payouts in reports</t>
  </si>
  <si>
    <t>Update logs for deposits with replace info</t>
  </si>
  <si>
    <t>Prohibit to change accumulator address in wallet's settings</t>
  </si>
  <si>
    <t>Search by address on accumulation page</t>
  </si>
  <si>
    <t>Add USDT over TON</t>
  </si>
  <si>
    <t xml:space="preserve">Design an architecture: divide architecture of the BPS into 2 part - for merchant functions, for BC functions. </t>
  </si>
  <si>
    <t>L2 Base</t>
  </si>
  <si>
    <t>In Process</t>
  </si>
  <si>
    <t>Small fixes:
773 fix error description unknown server error and parse all proper descriptions 
250 fix submit button 
789 show proper creator in TX logs
274 Order of the reports became [Deposits, Payouts, ..., Deposit control, Payout control, Running balance]. Buttons order became [logs, details] 
802 Duplication error
789 Correction of user information in transaction logs</t>
  </si>
  <si>
    <t>Technical stuff
784 sometimes there are no logs if any service is down
771 some ETH payouts have mempool status forever 
752 transaction idempotence for blockchain-service
764 delete ethgasstation
768-770 BNB payouts have stucked
785 accumulation errors with ETH-like transactions
790 `insufficient_balance` error of polygon accumulations
801 Wrong recipient of the Payout transaction
799 Unable to create USDT wallet</t>
  </si>
  <si>
    <t>On restart of ETH nodes several container restarted</t>
  </si>
  <si>
    <t>Fix enable/disable user function</t>
  </si>
  <si>
    <t>Upgrade force feature when Gas Station down</t>
  </si>
  <si>
    <t>The accumulation is deleted for any fail reasons</t>
  </si>
  <si>
    <t>EVM bump fee for ETH, MATIC, AVAX C, etc..</t>
  </si>
  <si>
    <t>Send notification to Discord of Errored Deposit attempts</t>
  </si>
  <si>
    <t>In process (Sentry)</t>
  </si>
  <si>
    <t>E-BPShop. Back-end:</t>
  </si>
  <si>
    <t>Create a monorepo</t>
  </si>
  <si>
    <t>Create a nestjs skeleton</t>
  </si>
  <si>
    <t>Configure PostgreSQL and connect to NestJS</t>
  </si>
  <si>
    <t>User Auth(Z) + sign Up</t>
  </si>
  <si>
    <t>Create a Store entity and BL</t>
  </si>
  <si>
    <t>User role in the store (interface of users and stores)</t>
  </si>
  <si>
    <t>Connect the store with BPS merch (BPS REST)</t>
  </si>
  <si>
    <t>Implement CRUD for products</t>
  </si>
  <si>
    <r>
      <rPr>
        <i/>
        <sz val="10"/>
        <color theme="1"/>
        <rFont val="Arial"/>
      </rPr>
      <t xml:space="preserve">Create a </t>
    </r>
    <r>
      <rPr>
        <i/>
        <strike/>
        <sz val="10"/>
        <color theme="1"/>
        <rFont val="Arial"/>
      </rPr>
      <t>payment link</t>
    </r>
    <r>
      <rPr>
        <i/>
        <sz val="10"/>
        <color theme="1"/>
        <rFont val="Arial"/>
      </rPr>
      <t xml:space="preserve"> Payment session system</t>
    </r>
  </si>
  <si>
    <t>Autotests</t>
  </si>
  <si>
    <t>Deploy</t>
  </si>
  <si>
    <t>E-BPShop. Front-end:</t>
  </si>
  <si>
    <t xml:space="preserve">Intiate repo, components </t>
  </si>
  <si>
    <t>Auth+sign Up</t>
  </si>
  <si>
    <t>Settings-Buisiness details</t>
  </si>
  <si>
    <t>Balances</t>
  </si>
  <si>
    <t>Payment links (table, creation)</t>
  </si>
  <si>
    <t>Products (table, creation)</t>
  </si>
  <si>
    <t>E-BPShop. Analitics, design</t>
  </si>
  <si>
    <t xml:space="preserve">BC Optimism </t>
  </si>
  <si>
    <t>BC Arbitrum</t>
  </si>
  <si>
    <t xml:space="preserve">BA: General Hot Wallet </t>
  </si>
  <si>
    <t>Redesign Force feature for EVM with changing Max NF from coin to Wei</t>
  </si>
  <si>
    <t>Add button to redirect to ".../version" window</t>
  </si>
  <si>
    <t>Configure Sentry</t>
  </si>
  <si>
    <t>Without posponed tasks</t>
  </si>
  <si>
    <t>Optimization of confirmed transaction search for blockchain scanners
The system often threw an error on the number of connections to the database. We investigated what could be connected with it, and looked for ways to fix it. We came to the optimization of the number of requests to the database - we rewrote part of the code for searching in the scanners of transactions that relate to the addresses of our system.</t>
  </si>
  <si>
    <t>Optimization of new transaction search for Bitcoin
We determined the methods for obtaining the bitcoin mempool, since in that state the system within the scanner could not receive the mempool in its entirety. At first, we wanted to use mempool.space (the code was already ready), but eventually switched to bitcoin core. For the mempool, we also optimized the search for transactions for our addresses.
After writing the scanners, we dealt with the very low scanning speed. We made a number of optimizations.</t>
  </si>
  <si>
    <t>New model BTC scanner
We investigated the problem when bitcoin-like transactions were lost. Then we found that the node cannot give more than a certain number of transactions to one address. There were also many discussions on the topic of changing the model for receiving transactions in bitcoin-like ones, where we eventually came to scanners. We implemented them, but during development some difficulties arose due to the specifics of the BC.</t>
  </si>
  <si>
    <t>Creating business metrics</t>
  </si>
  <si>
    <t>Investigating difference between WPB and BPS deposits
We have investigated 3 times within the sprint differences between two system, the cases of differences were:
1. BPS had been restarting and WPB hadn't able to send deposit address
2. New ETH-like (also USDT) SCs which weren't supported at that moment
3. Uncommon deposits with no hash / incorrect data (i.e. created for ETH but replenished in BASE)
4. Missed deposit wallet (i.e WPB have started send to us AVAX-C but wallet wasn't created)</t>
  </si>
  <si>
    <t xml:space="preserve">TRON issues
In task #847 we have found addresses in raw format. It have fixed.
In #862 we have fixed missing error if there is unsufficient balance
In #863 we have fixed out-of-sync account on the production server.  </t>
  </si>
  <si>
    <t>BC worker freezes
#837 - BC-worker is not reload after the error 
#839 - Fix BC-worker freezes 
#850 - Freezes within stress testing
#868 - BPS received uncommon SC TXs which have replenished 2 deposits</t>
  </si>
  <si>
    <t>EBPS Backend</t>
  </si>
  <si>
    <t>Swagger</t>
  </si>
  <si>
    <t>Internal logs (debug)</t>
  </si>
  <si>
    <t>Preparation for e2e: semi-automatic script for payouts</t>
  </si>
  <si>
    <t>Fix potential vulnerability: correct process blank and failed ETH TXs</t>
  </si>
  <si>
    <t>Add cardano legacy addresses support with fix memory loses</t>
  </si>
  <si>
    <t>Small fixes
#840 Accidentally accumulation is in payout table instead of the proper one
#833 No data at wallets page
#842 Two identical pending payouts
#276 Fix incorrect namings
#849 save every TRX TXs
#854 add new SCs to support
#865 Incorrecy logs of updated balance
#855 Replace func doesn't work in ETH-like BCs (tokens)
#859 Blockscout gas tracker doesn't work from 11th October
#860 Add support for SC executeCallWithData
#867 Errored accounting of the used deposit' addresses
#874 Transaction has been reverted by the EVM
#283 Unable to create hot deposit/general wallet for tokens
#881 gas required exceeds allowance (21000) for arbitrum</t>
  </si>
  <si>
    <t>Technical stuff
#797 AVAX-C scanner sometimes doesn't work
#823 Fix CI
#864 move fixes in master branch
#877 Fix logs and fix in admin service
#857 Fix the 502 errors (socket hang up)
#841 avax proxy</t>
  </si>
  <si>
    <t>1</t>
  </si>
  <si>
    <t>E-BPShop feauters</t>
  </si>
  <si>
    <t>1.1</t>
  </si>
  <si>
    <t>Components</t>
  </si>
  <si>
    <t>1.2</t>
  </si>
  <si>
    <t>Auth Sign in</t>
  </si>
  <si>
    <t>1.3</t>
  </si>
  <si>
    <t>1.4</t>
  </si>
  <si>
    <t>1.5</t>
  </si>
  <si>
    <t>Products</t>
  </si>
  <si>
    <t>1.6</t>
  </si>
  <si>
    <r>
      <rPr>
        <strike/>
        <sz val="10"/>
        <color rgb="FF274E13"/>
        <rFont val="Arial"/>
      </rPr>
      <t xml:space="preserve">Payment links </t>
    </r>
    <r>
      <rPr>
        <sz val="10"/>
        <color rgb="FF274E13"/>
        <rFont val="Arial"/>
      </rPr>
      <t>Payment session</t>
    </r>
  </si>
  <si>
    <t>2</t>
  </si>
  <si>
    <t>Deployment</t>
  </si>
  <si>
    <t>3</t>
  </si>
  <si>
    <t>Solving serialization issue</t>
  </si>
  <si>
    <t>Extended Transaction does not update Dashboard</t>
  </si>
  <si>
    <t>Replaced by 7</t>
  </si>
  <si>
    <t>Change filtration with the "confirmed at" datetime on the Deposits and Dashboard pages</t>
  </si>
  <si>
    <t>Add processing SC TXs ETH using debug API (ex Manual process unknown SCs: pending deposits)</t>
  </si>
  <si>
    <t>Upgrade Bump TXs ETH-like</t>
  </si>
  <si>
    <t>Upgrade Bump TXs BTC (cpfp)</t>
  </si>
  <si>
    <t>Upgrade Download CSV</t>
  </si>
  <si>
    <t>Wallet's, merchant's and balance's pages optimization initial research</t>
  </si>
  <si>
    <r>
      <rPr>
        <u/>
        <sz val="10"/>
        <color rgb="FF000000"/>
        <rFont val="Arial"/>
      </rPr>
      <t xml:space="preserve">Research for necessity of </t>
    </r>
    <r>
      <rPr>
        <u/>
        <sz val="10"/>
        <color rgb="FF000000"/>
        <rFont val="Arial"/>
      </rPr>
      <t>Blockscanner for AVAX-X</t>
    </r>
  </si>
  <si>
    <t>Designing horizontal scaling for BC-scanners</t>
  </si>
  <si>
    <t>Add new time column - Reports / Payouts pages</t>
  </si>
  <si>
    <t>New logs for payouts (cold pending, force, retry, decline, accept)</t>
  </si>
  <si>
    <t>Polygon Native Coin name change</t>
  </si>
  <si>
    <t>Add hook when node have 400s and 500s response codes</t>
  </si>
  <si>
    <t xml:space="preserve">Unique TraceID for payouts </t>
  </si>
  <si>
    <t>Pending Missing Info (add info to the Pending/ Failed pages - amount in USD, Exchange rate)</t>
  </si>
  <si>
    <t>Update Deposit Report (tooltip should display the USD amount when hovering over the following elements: Merchant Fee, Consolidation Fee)</t>
  </si>
  <si>
    <t>Code modification for full support AVAX-X</t>
  </si>
  <si>
    <t>BTC and LTC transactions on Mempool state but not Completed: 
- investigated TXs itself and statement in blockchain
- researching reasons for stucked in mempool
- creating SQL-requests for fixing mempool statuses
- developing fix for scenario with addresses in upper-case</t>
  </si>
  <si>
    <t xml:space="preserve">897 Tron Fix: exceed API requests
- Fixed stucked old TX which used half of the limit
- Changed TronGrid api-key </t>
  </si>
  <si>
    <t>299 Force window for L1 ETH-like (BNB, POLY, AVAX)
901 Add Gas Trackers for L1 ETH-like
- Necessary for correct behaviour of new force window</t>
  </si>
  <si>
    <t>298 Error filtering pages payouts / accumulations  - solving AVAX issue, how it works with date-time</t>
  </si>
  <si>
    <t>292 Collapse addresses in deposit info window</t>
  </si>
  <si>
    <t>887 Modification TON logic 
- Add processing address deployment
- Fix request caching which returns incorrect value
- Fix rate for token in force window</t>
  </si>
  <si>
    <t>902 Incorrect proceed using replace function on TON
890 Fix replace from native coin to the token</t>
  </si>
  <si>
    <t>833 Wallets returns no data - requests optimisation, solving timeout issue
- Stage server faced with error `No results found` with no reason in time requesting Wallets data
- Investigated SQL-requests
- Reworked index in request
- Switch from 4 req/wallet to one general request</t>
  </si>
  <si>
    <t>889 BigDecimal support in API</t>
  </si>
  <si>
    <t>Small fixes
293 Hide "address from"
291 Change the logic of chosen filter via redirect from tools-&gt;actions:create swap
289 Edits in force
296 Fix rates in force window
916 Payouts downloading CSVs also take accumulations
915 Converting bitcoin and litecoin addresses to standard form ignores case in P2WPKH addresses</t>
  </si>
  <si>
    <t>Technical stuff
913 Updated nodes, fix incorrect links
918 WalletNotFoundError with existing wallet
888 discrepancy in balances for TON in case of wallet's deployment
899 Fix broken download payouts CSV
886 Fix failed accumulation with unknown error
911 SyntaxError in graphQL
923 Incorrect data from PolygonScan gas tracker</t>
  </si>
  <si>
    <t>E-BPShop:</t>
  </si>
  <si>
    <r>
      <rPr>
        <sz val="10"/>
        <color theme="1"/>
        <rFont val="Arial"/>
      </rPr>
      <t xml:space="preserve">BPS </t>
    </r>
    <r>
      <rPr>
        <strike/>
        <sz val="10"/>
        <color theme="1"/>
        <rFont val="Arial"/>
      </rPr>
      <t>payment links</t>
    </r>
    <r>
      <rPr>
        <sz val="10"/>
        <color theme="1"/>
        <rFont val="Arial"/>
      </rPr>
      <t xml:space="preserve"> Payment session modification + optimization</t>
    </r>
  </si>
  <si>
    <t>Front-end optimization, improvement
- Width adaptive
- Width limit for table
- Backend pagination for products &amp; invoices
- Frontend pagination for balances
- Numeric input field with +/- buttons for products.
- "Create new" button for product selection during payment link creation.
- Change toast notifications to match design.
- Implement right-click to open pages in new tabs.
- Fix status badges.
- Create a custom currency conversion component.
- Add scroll functionality to the side menu.
- Implement a page header fixed to the top of the screen with a settings button.
- Add `Enter` key support for:
  - System login after filling all inputs
  - New user creation</t>
  </si>
  <si>
    <t>Withdraw (page+action)</t>
  </si>
  <si>
    <t>4</t>
  </si>
  <si>
    <t>Deposits (page+action)</t>
  </si>
  <si>
    <t>5</t>
  </si>
  <si>
    <t>Auto creation merch in BPS</t>
  </si>
  <si>
    <t>replaced by 6</t>
  </si>
  <si>
    <t>6</t>
  </si>
  <si>
    <t>Semi-automatic merchant creation in BPS
- semi-automatic merch confirmation itself in BPS
- full-weight UI for admins - `pending merchants` BPS frontend 
- ability for requesting confirmation from E-BPS
- secured endpoint for exact purposes
- logic of work between systems</t>
  </si>
  <si>
    <t>7</t>
  </si>
  <si>
    <t>BPS Callbacks modification</t>
  </si>
  <si>
    <t>8</t>
  </si>
  <si>
    <t>Invoices (page + action)</t>
  </si>
  <si>
    <t>9</t>
  </si>
  <si>
    <t>Settings -&gt; Business details</t>
  </si>
  <si>
    <t>10</t>
  </si>
  <si>
    <t>E-BPShop: Deployment</t>
  </si>
  <si>
    <t>11</t>
  </si>
  <si>
    <t>ci/cd, observability, deployment (tech analyze)</t>
  </si>
  <si>
    <t>12</t>
  </si>
  <si>
    <t>ci/cd, observability, deployment</t>
  </si>
  <si>
    <t xml:space="preserve">postponed </t>
  </si>
  <si>
    <t>BPS</t>
  </si>
  <si>
    <t>14</t>
  </si>
  <si>
    <t>acceptance tests</t>
  </si>
  <si>
    <t>15</t>
  </si>
  <si>
    <t>Optimization merchant &amp; balance pages</t>
  </si>
  <si>
    <t>16</t>
  </si>
  <si>
    <t>Lowest value definition for accepting deposit</t>
  </si>
  <si>
    <t>17</t>
  </si>
  <si>
    <t>MAU-20: [BA] Frontend dashboard updates​</t>
  </si>
  <si>
    <t>18</t>
  </si>
  <si>
    <t>Extend API validation</t>
  </si>
  <si>
    <t>19</t>
  </si>
  <si>
    <t>20</t>
  </si>
  <si>
    <t>[BA] Utila</t>
  </si>
  <si>
    <t>21</t>
  </si>
  <si>
    <t>[Tech analyze] Relay: sweep tokens without coins</t>
  </si>
  <si>
    <t>contains tasks 22-29</t>
  </si>
  <si>
    <t>939 Services restarting w/o errors
- fix gRPC amount of active connections which uses a lot RAM</t>
  </si>
  <si>
    <t>938 Deadlock in execution moveScannerTransactionsToAccountTransactions
- solved deadlock issue in `accounts` requests</t>
  </si>
  <si>
    <t>Without postponed tasks</t>
  </si>
  <si>
    <t>925 REST API tests fell</t>
  </si>
  <si>
    <t>295 Transition from to and from toAddress and fromAddress for graphql type TransferRequest
- optimize loading pages using field with dataloaders</t>
  </si>
  <si>
    <t>950 Optimize slow request of raw transactions from the blockchain</t>
  </si>
  <si>
    <t xml:space="preserve">926 Script for deposits stress testing
- extended script for stress testing </t>
  </si>
  <si>
    <t>927 Freezes ETH scanner within SC processing
- change grouping method</t>
  </si>
  <si>
    <t>918 WalletNotFoundError when system have existing wallet
- double deposit requests from WPB</t>
  </si>
  <si>
    <t>Account details</t>
  </si>
  <si>
    <t>Small fixes &amp; tech
- 69 Fix layout, change 2fa naming, fixerror, fix pdf
- 67 Auto avoid decline from BPS, fix lost fields in API 
- 74 refresh token rework
- 11 Investigate and optimize invoice (PS) loading 
- 66 Fix front-&gt;back incorrect requests</t>
  </si>
  <si>
    <t>Custom multiselector for currencies</t>
  </si>
  <si>
    <t>Loaders:
- loading state for buttons 
- `loading` component
- animated loader with logo</t>
  </si>
  <si>
    <t>DB migrations</t>
  </si>
  <si>
    <t>Emails (signUp/In, recovery password)</t>
  </si>
  <si>
    <t>150 Pending missing info 2 (approved 01.30.2025)
- added coin and fee amounts in `pending` pop-up menu</t>
  </si>
  <si>
    <t>158 Rework Unique TraceIDs</t>
  </si>
  <si>
    <t>310 Additions for force window</t>
  </si>
  <si>
    <t>312 Bringing the force to the relevant token rate</t>
  </si>
  <si>
    <t>924 Replace expired deposits</t>
  </si>
  <si>
    <t>929 Add validation for coin_amount with null/string</t>
  </si>
  <si>
    <t>954 Out-of-sync ETH FMT node
- investigate the reasons of out-of-sync
- fix arbitrum alerts which have interfere to understand the situation</t>
  </si>
  <si>
    <t>934 Process stake TRX TXs
-Transfer TRX - basic TRX transfer;
- Trigger Smart Contracts - transfer TRC20 tron token, supported until now;
- Transfer TRC10 - added support as it can affect balance due to fees;
- TRX Stake (2.0) - added support - “freezes” some funds that are no longer in the balance;
- TRX Unstake (2.0) - added support due to commission. Does not affect balance directly. Transfers currency from stake to unstake, which is also unavailable for use;
- Cancel Unstake - added support due to commission. Transfers currency from unstake back to stake;
- Withdraw Unstaked TRX - added support - unfreezes funds from unstake and returns them to the balance;
- Delegate Resources - added support due to commission. Balance is not affected.
- Reclaim Resources - added support due to commission. Balance is not affected.
- TRX Stake (1.0) - not supported by node.
- TRX Unstake (1.0) - added support - “unfreezes” stake v1 funds.
- Vote - added support due to commission. Balance is not affected.
- Claim Voting Rewards - added support - receiving rewards in TRX.
- Update Account Permissions - added support due to commission</t>
  </si>
  <si>
    <t>Small Fixes</t>
  </si>
  <si>
    <t>309 Fix column headings in tables</t>
  </si>
  <si>
    <t xml:space="preserve">308 Remove ability for creating payout HD-wallet </t>
  </si>
  <si>
    <t>936 Fix searching using uuid in payouts/accumulations</t>
  </si>
  <si>
    <t>951 Update TON API spec</t>
  </si>
  <si>
    <t>962 Add logs for TON TXs</t>
  </si>
  <si>
    <t xml:space="preserve">Solana (coin + tokens (memes)) </t>
  </si>
  <si>
    <t xml:space="preserve">Ripple </t>
  </si>
  <si>
    <t>Full func.</t>
  </si>
  <si>
    <t>Hot deposit wallet XRP can not be created</t>
  </si>
  <si>
    <t xml:space="preserve">XLM </t>
  </si>
  <si>
    <t>DOGE</t>
  </si>
  <si>
    <t>Full func.
doge - was designed to be completely consistent with Bitcoin logic, as was the case for l1 Ethereum-like coins. In the process, several significant differences were found (we had to write a separate parser for hex blocks and hex transactions). Also, there was basically no regtest node for e2e tests, so we had to make our own based on electrumx. During testing on real nodes, we had to make adjustments to support these very real nodes.</t>
  </si>
  <si>
    <t>An error occurs when creating a doge hot payout wallet
Related to the incorrect connection with the node - DOGE node was unstable with connection</t>
  </si>
  <si>
    <t>Change reconnect trigger for WS client
For DOGE node code changes of connection to gain full-time connection with it</t>
  </si>
  <si>
    <t>Ping in electrum client does not start until some request is executed</t>
  </si>
  <si>
    <t>Acceptance tests</t>
  </si>
  <si>
    <t>Local deployment of bitcoin-like BC nodes</t>
  </si>
  <si>
    <t>`Actions` implementation in acceptance flow for  Bitcoin-like BC
According to the tests, the initial stage of preparing the Testnet nodes took a long time, as each node had its own characteristics. Their fine-tuning took place throughout the entire task execution period.</t>
  </si>
  <si>
    <t>Relay:</t>
  </si>
  <si>
    <t>cancelled</t>
  </si>
  <si>
    <t>sponseredCall</t>
  </si>
  <si>
    <t>callWithSyncFee</t>
  </si>
  <si>
    <t>[Tech analyze] Utila</t>
  </si>
  <si>
    <t>MATIC -&gt; POLY (manually deleted MATIC from DB)</t>
  </si>
  <si>
    <t>Failed Accumulation cannot be deleted
Changes to the backend:
- Renamed the variable `DEFAULT_LIMIT` to `DEFAULT_LIMIT_QUERY` in the `bookkeeper` service and made it publicly available in the service
- `get-action-by-ids` works correctly (pulling up `pending` and `failed` actions) - the sequence of requests and their correct operation have been fixed
- All new functionality is covered by tests
Frontend changes:
- `Decline` has appeared in accumulations
- When selecting different currencies in stacked tables, the amount in USD is displayed correctly - incorrect USD calculation has been fixed</t>
  </si>
  <si>
    <t>[BA] new merchant acc</t>
  </si>
  <si>
    <t>[MAU-209] Wallets improvment</t>
  </si>
  <si>
    <t>Rework access rights</t>
  </si>
  <si>
    <t>Admin quorum</t>
  </si>
  <si>
    <t>EVM wallets</t>
  </si>
  <si>
    <t>Delegate wallet</t>
  </si>
  <si>
    <t>Sponsor wallet + EIP-3009 \ EIP-7702</t>
  </si>
  <si>
    <t>Bitcoin based Network Batching Wallet for deposits</t>
  </si>
  <si>
    <t>Rework extend</t>
  </si>
  <si>
    <t>Delete old records from outbox table</t>
  </si>
  <si>
    <t>Horizontal scaling</t>
  </si>
  <si>
    <t>Divide worker processes in the blockchain service</t>
  </si>
  <si>
    <t xml:space="preserve">[MAU-226] Operator issue </t>
  </si>
  <si>
    <t xml:space="preserve">[General] Rethink process of current workflow </t>
  </si>
  <si>
    <t>Add @ tags for hooks in discord for out-of-sync nodes</t>
  </si>
  <si>
    <t>application error when click on the details (reports-&gt;deposit control))</t>
  </si>
  <si>
    <t>extend doesn't work</t>
  </si>
  <si>
    <t>merchant `cannot execute use on page_filter`</t>
  </si>
  <si>
    <t>Operator, Accountant Permission denied</t>
  </si>
  <si>
    <t>version `could not fetch` error</t>
  </si>
  <si>
    <t>Incorrect maxfee fee for SHIBs</t>
  </si>
  <si>
    <t>Fix coin and token rates on the front end</t>
  </si>
  <si>
    <t>Broken modals (deposit info, payout info)</t>
  </si>
  <si>
    <t>Remove sorce_types_N in blockchain block sync dashboard in Graphana</t>
  </si>
  <si>
    <t>Timeout errors in `blockchain service` autotests in runner</t>
  </si>
  <si>
    <t>Blocks in scanner may not be deleted</t>
  </si>
  <si>
    <t>Add CoinGecko rate provider and adapt it for ETH-SHIB rate
- possible use that rate for future
- currently will be used for ETH-SHIB rate (13.03 over sprint)</t>
  </si>
  <si>
    <t>2.13</t>
  </si>
  <si>
    <t>Adapt RETH ETH node for work with BPS (13.03 over sprint)</t>
  </si>
  <si>
    <t>postponed</t>
  </si>
  <si>
    <t>2.14</t>
  </si>
  <si>
    <t>[TA] Investigate how to reduce minimal costs of fee sending BTC-like TXs (13.03 over sprint)</t>
  </si>
  <si>
    <t>2.15</t>
  </si>
  <si>
    <t>Frontend optimization for Deposits, Payouts, Accumulation, etc.
- edits for GraphQL requests &amp; optimization frontend logic
- add dataloaders on the backend (13.03 over sprint)
Includes studying the logic of operation and data loading for pages. 
Changed: 
- Instead of calculations on the back end, the front end now calculates values in dollars.
- Unnecessary `blockTransactions` requests have been removed.
- The ability to round down in the `toUsd` function has been added.
- Payment sessions are no longer requested in payments; they are now requested separately.
- Unused values have been reviewed and deprecated.</t>
  </si>
  <si>
    <t>2.16</t>
  </si>
  <si>
    <t>Delayed batch-accumulation (20.03 over sprint)</t>
  </si>
  <si>
    <t>2.17</t>
  </si>
  <si>
    <t>Switch to the Fastify from Koa</t>
  </si>
  <si>
    <t>Switch to Fastify
Gained advantages:
- Higher perfomance (look into task MAU-234)
- Built-in schema validation - further API endpoints development will take less time</t>
  </si>
  <si>
    <t>2.18</t>
  </si>
  <si>
    <t>[MAU-185] Change the information in the swagger</t>
  </si>
  <si>
    <t>2.19</t>
  </si>
  <si>
    <t>[MAU-203] Coin/token ticker</t>
  </si>
  <si>
    <t>2.20</t>
  </si>
  <si>
    <t>Bring background processing of notifications and getting raids from grpc to wokers</t>
  </si>
  <si>
    <t>2.21</t>
  </si>
  <si>
    <t>[MAU-253] Blackbox exporter: add instance names and gas trackers</t>
  </si>
  <si>
    <t>2.23</t>
  </si>
  <si>
    <t>Upgrade test-cases</t>
  </si>
  <si>
    <t>Regression testing</t>
  </si>
  <si>
    <t>Switching API controllers to Fastify</t>
  </si>
  <si>
    <t>Upgrade related `Koa` libraries to `Fastify` counterparts</t>
  </si>
  <si>
    <t>2.24</t>
  </si>
  <si>
    <t>Use alpine-based nodejs image</t>
  </si>
  <si>
    <t>2.25</t>
  </si>
  <si>
    <t>Short lived Jaeger traces</t>
  </si>
  <si>
    <t>2.26</t>
  </si>
  <si>
    <t>Generate validation schema and types based on swaggerV2.yaml</t>
  </si>
  <si>
    <t>2.27</t>
  </si>
  <si>
    <t>Add configuration parameters to enable blockchains</t>
  </si>
  <si>
    <t>2.28</t>
  </si>
  <si>
    <t>Node optimism started giving wrong values of last block number</t>
  </si>
  <si>
    <t>2.29</t>
  </si>
  <si>
    <t>ETH ws-node error</t>
  </si>
  <si>
    <t>Technical help desk</t>
  </si>
  <si>
    <t>2.31</t>
  </si>
  <si>
    <t>updating env in alphabetical order</t>
  </si>
  <si>
    <t>2.32</t>
  </si>
  <si>
    <t>SQL queries to update accumulator address</t>
  </si>
  <si>
    <t>2.33</t>
  </si>
  <si>
    <t>SQL queries to switch operator-&gt;consolidator</t>
  </si>
  <si>
    <t>2.34</t>
  </si>
  <si>
    <t>Production slowdown after deposits are connected</t>
  </si>
  <si>
    <t>2.35</t>
  </si>
  <si>
    <t>[MAU-185] Explore broken Blockfills</t>
  </si>
  <si>
    <t>2.36</t>
  </si>
  <si>
    <t>[MAU-208] Add `tx_hash` to `deposit_callback`</t>
  </si>
  <si>
    <t>2.37</t>
  </si>
  <si>
    <t>[MAU-213] Bump ether token returned error ‘Transaction too expensive. Make max fee smaller.’</t>
  </si>
  <si>
    <t>2.38</t>
  </si>
  <si>
    <t>Errors of deposit creation on prod (27.02)</t>
  </si>
  <si>
    <t>2.39</t>
  </si>
  <si>
    <t>Tron transaction hangs unprocessed on staging</t>
  </si>
  <si>
    <t>2.40</t>
  </si>
  <si>
    <t>Restart of blockchain service on proda 01.05</t>
  </si>
  <si>
    <t>2.41</t>
  </si>
  <si>
    <t>Invalid opcode error in USDT ETH payments</t>
  </si>
  <si>
    <t>2.42</t>
  </si>
  <si>
    <t>Ether-like BC debug trace parser crashes when processing contract creation</t>
  </si>
  <si>
    <t>2.43</t>
  </si>
  <si>
    <t>[MAU-214] Extending LTC TX with multioutput</t>
  </si>
  <si>
    <t>2.44</t>
  </si>
  <si>
    <t>[MAU-227] Duplicate Records investigation</t>
  </si>
  <si>
    <t>2.45</t>
  </si>
  <si>
    <t>MAU-197: These two transactions Failed</t>
  </si>
  <si>
    <t>2.46</t>
  </si>
  <si>
    <t>creating wallet LTC-31 on the Stage</t>
  </si>
  <si>
    <t>2.47</t>
  </si>
  <si>
    <t xml:space="preserve">Provider reconnect before any response </t>
  </si>
  <si>
    <t>2.48</t>
  </si>
  <si>
    <t>Sync AVAX-C &amp; POL blocks in BPS DB</t>
  </si>
  <si>
    <t>2.49</t>
  </si>
  <si>
    <t>Guides update</t>
  </si>
  <si>
    <t>2.50</t>
  </si>
  <si>
    <t>BTC-39 &amp; BTC-40 wallets issue</t>
  </si>
  <si>
    <t>Generalization of the structure of scanner tables</t>
  </si>
  <si>
    <t>Splitting a worker into subservices</t>
  </si>
  <si>
    <t>Blockchain provider services</t>
  </si>
  <si>
    <t>Transition of calls to nodes to calls to the API provider in the worker and API services</t>
  </si>
  <si>
    <t>Setting up new services for deployment in prod and dev environments</t>
  </si>
  <si>
    <t>DevOps (1)</t>
  </si>
  <si>
    <t>Local deployment</t>
  </si>
  <si>
    <t>Technical designing</t>
  </si>
  <si>
    <t>Ansible playbooks for managing the cluster</t>
  </si>
  <si>
    <t>Switch Docker Compose to Kubernetes manifests</t>
  </si>
  <si>
    <t>Prepare CloudNativePG</t>
  </si>
  <si>
    <t>Launch and setup Argo CD</t>
  </si>
  <si>
    <t>Migration &amp; Kubernetes</t>
  </si>
  <si>
    <t>Work with Redpanda</t>
  </si>
  <si>
    <t>Setup Infisical</t>
  </si>
  <si>
    <t>Support</t>
  </si>
  <si>
    <t>USDT wallet out-of-sync</t>
  </si>
  <si>
    <t>bnb gas tip 0</t>
  </si>
  <si>
    <t>searching for USDT out-of-sync account</t>
  </si>
  <si>
    <t>stucked USDT TX in mempool for no reason</t>
  </si>
  <si>
    <t>stage hotfix upload</t>
  </si>
  <si>
    <t>Transaction started at 22556338 but was not mined within 50 blocks</t>
  </si>
  <si>
    <t>clearing docker containers with HEX after changing firewall rules</t>
  </si>
  <si>
    <t>research using standards for BNB</t>
  </si>
  <si>
    <t>production update on 19th May</t>
  </si>
  <si>
    <t>Implementation RETH node</t>
  </si>
  <si>
    <t>BA</t>
  </si>
  <si>
    <t>admin quorum: backend, frontend</t>
  </si>
  <si>
    <t>admin quorum: actions</t>
  </si>
  <si>
    <t>Distingiush .env related for definition hung time for batch and common TXs</t>
  </si>
  <si>
    <t>DeskPro integration</t>
  </si>
  <si>
    <t>Do not mix reciever' addresses for batch accumulation in case of changing the address (ex. Batching Combined)</t>
  </si>
  <si>
    <t>Improvement on Address visual on Wallets</t>
  </si>
  <si>
    <t>Review stucked BTC deposits</t>
  </si>
  <si>
    <r>
      <rPr>
        <sz val="10"/>
        <color theme="1"/>
        <rFont val="Arial"/>
      </rPr>
      <t xml:space="preserve">Clear warn logs in </t>
    </r>
    <r>
      <rPr>
        <sz val="10"/>
        <color rgb="FF000000"/>
        <rFont val="Arial"/>
      </rPr>
      <t>deploy.sh</t>
    </r>
  </si>
  <si>
    <t>Trigger accumulation for replaced TXs</t>
  </si>
  <si>
    <t>Log each response from the 3rd party service</t>
  </si>
  <si>
    <t>Local deployment of ether-like L1 nodes (added over sprint 2nd of June)</t>
  </si>
  <si>
    <t>Delete old entries from the outbox table (added over sprint 5nd of June)</t>
  </si>
  <si>
    <t>Switch Etherscan to the v2 API</t>
  </si>
  <si>
    <t>Reverse proxy for distributing requests between providers</t>
  </si>
  <si>
    <t>Improvements to migrate.ts in the blockchain service</t>
  </si>
  <si>
    <t>canceled</t>
  </si>
  <si>
    <t>Switching to connectrpc</t>
  </si>
  <si>
    <t>DevOps (2)</t>
  </si>
  <si>
    <t>Deployment
- Local test deployment completed
- Backend service assembly issue resolved
- Resource synchronization issues with cloudnativepg fixed</t>
  </si>
  <si>
    <t>Ansible playbooks for cluster management
- Infrastructure architecture of the system designed for correct operation in two environments (staging and production)
- Correct namespace partitioning defined for optimal resource organization
- K3s cluster installed with master and worker nodes on specified hosts
- Node annotation system configured with labels (infrastructure/workload)
- Implemented the ability to dynamically add nodes without interrupting cluster operation
- API server TLS certificate update process configured via Ansible
- Cluster backup system integrated using Velero and S3-compatible backend
- Centralized variable structure and clear role separation in Ansible organized
- Validation of cluster availability and operability after all operations</t>
  </si>
  <si>
    <t>Transferring Docker Compose to Kubernetes manifests</t>
  </si>
  <si>
    <t>Preparing CloudNativePG</t>
  </si>
  <si>
    <t>Installing and configuring Argo CD</t>
  </si>
  <si>
    <t>Migrations and Kubernetes
- Configuring manifests to run migrations in k8s</t>
  </si>
  <si>
    <t>Redpanda</t>
  </si>
  <si>
    <t>Configuring Infisical and setting up secrets and methods for working with them in:
- postgreSQL
- Redis
- infisical itself
Configuring access and ensuring security; Error handling and ensuring fault tolerance</t>
  </si>
  <si>
    <t>Transferring grafana dashboards</t>
  </si>
  <si>
    <t>Configuring metrics collection (openTelemetry Collector, prometheus, jaeger)
- Installed Jaeger in a Kubernetes cluster using manifests
- Configured persistent trace storage with backend parameter configuration
- Created PVC for storing trace data and provided backup
- Deployed Prometheus with all necessary exporters (including Blackbox Exporter)
- Developed scripts for automatic generation of configuration files template-based
- Implemented a mechanism for managing environment variables via Kubernetes Secrets and ConfigMaps
- Configured OpenTelemetry Collector using the Helm chart from the official repository
- Configured receivers, processors and exporters for integration with Jaeger
- Defined service pipelines for traces, metrics and logs
- Provided automatic restart of services when changing configurations
- Implemented secure configuration via ConfigMap and Kubernetes Secrets
- Configured access control to the UI and API of monitoring systems</t>
  </si>
  <si>
    <t xml:space="preserve">Admin Quorum </t>
  </si>
  <si>
    <t>Search button in Tools-&gt;Wallets. Optimization. Requests changes</t>
  </si>
  <si>
    <t>Change the method of recording fees for batch transactions</t>
  </si>
  <si>
    <t>[MAU-237] Sort all lists alphabetically</t>
  </si>
  <si>
    <t>Enter 24-hour time format regardless of browser time zone and set time zone to UTC+0</t>
  </si>
  <si>
    <t>[MAU-209] Add address viewing and the ability to download wallet addresses in CSV</t>
  </si>
  <si>
    <t>Document all env files</t>
  </si>
  <si>
    <t>Help Desk &amp; Technical stuff</t>
  </si>
  <si>
    <t>[MAU-256] Investigating bnb gas tip 0 error when some logs are missing</t>
  </si>
  <si>
    <t>[MAU-260] doge deposits &amp; accums issues</t>
  </si>
  <si>
    <t>[MAU-?][06/24] Investigating stuck BCH transactions</t>
  </si>
  <si>
    <t>[MAU-?] Tron've stuck in pending status but have block</t>
  </si>
  <si>
    <t>[MAU-?] Prod issues 06/29</t>
  </si>
  <si>
    <t>[MAU-?] Technical help desk (36)</t>
  </si>
  <si>
    <t>DevOps (3)</t>
  </si>
  <si>
    <t>Deployment
- Stage deployment completed
- Demo calls
- Environment variables migrated from old staging environment
- System performance issues with large number of updates fixed
- Comprehensive system testing completed</t>
  </si>
  <si>
    <t>GitLab and CI/CD
- Update scripts have been adapted for use in CI/CD (initially they were only for manual use)
- Procedures for updating the system on a staging environment have been defined</t>
  </si>
  <si>
    <t>Connecting external graylog to k3s</t>
  </si>
  <si>
    <t>Load testing on cpu at k3s-server</t>
  </si>
  <si>
    <t>Optimizing the performance and stability of the infrastructure in the DBMS</t>
  </si>
  <si>
    <t>Add a playbook to add a new node</t>
  </si>
  <si>
    <t>Renaming system's parts - SERVER, CLIENT vs BACKEND, FRONTEND</t>
  </si>
  <si>
    <t>Grafana alerts setup</t>
  </si>
  <si>
    <t>Developing a kubectl script for working with the DB</t>
  </si>
  <si>
    <t>Splitting repositories</t>
  </si>
  <si>
    <t>Add initCointainers for checking kafka</t>
  </si>
  <si>
    <t>Transition to runtime environment variables</t>
  </si>
  <si>
    <t>Optimization of the configuration of environment variables and improvement of the usability of the monitoring system
- Configured the transfer of variables for Prometheus and Blackbox-exporter
- Eliminated duplication of variables - all settings are managed from one place
- Protected variables in the frontend image with the ability to change them at startup
- Combined scripts for ease of use of the system
- Simplified administration - eliminated the need to make changes in several places</t>
  </si>
  <si>
    <t>Add container restart via New Worker</t>
  </si>
  <si>
    <t>Optimization of background account search</t>
  </si>
  <si>
    <t>Split service migrations to preserve the startup order</t>
  </si>
  <si>
    <t>Configuring the log format in graylog
- Configured the correct log format for the Fluent-bit service
- Resolved compatibility issues with the existing logging system
- Ensured correct integration of logs into the overall monitoring infrastructure</t>
  </si>
  <si>
    <t>Configure ArgoCD operation via jumpbox</t>
  </si>
  <si>
    <t>Fix k8s metrics exporter</t>
  </si>
  <si>
    <t>Nodejs metrics for all nodejs containers</t>
  </si>
  <si>
    <t>Optimize RAM consumption and the number of active connections</t>
  </si>
  <si>
    <t>Configure Rolling update for all grpc services</t>
  </si>
  <si>
    <t>Create a Readonly ArgoCD user</t>
  </si>
  <si>
    <t>Preparing instructions for updating the system
- updating code and images
- updating the application in argoCD
- updating secrets
- synchronizing argoCD with the repository
- synchronizing infisical
- measuring and comparing metrics with the transition of the system to k8s</t>
  </si>
  <si>
    <t>Moving kafka comsumer to workers</t>
  </si>
  <si>
    <t>Moving notifications migrations to a separate service</t>
  </si>
  <si>
    <t>The scanner accumulates mempool transactions</t>
  </si>
  <si>
    <t>Problem with receiving a transaction from the provider</t>
  </si>
  <si>
    <t>[MAU-235] Allow changing the accumulation address and completing transaction collection for a batch in case of address change</t>
  </si>
  <si>
    <t>Cache the fee to avoid hitting the request limit when multiple retries are made</t>
  </si>
  <si>
    <t>Split the `unsent` transactions graph for payouts and accumulations</t>
  </si>
  <si>
    <t>Betterstack alternatives for monitoring the system</t>
  </si>
  <si>
    <t xml:space="preserve">Flexible batch accumulations and payouts </t>
  </si>
  <si>
    <t>Add copy and redirect to the BC explorer buttons for hash and address</t>
  </si>
  <si>
    <t>In Grafana add monitoring to find stucked block</t>
  </si>
  <si>
    <t>Accumulation simple rework - add hash TXs column and remove not unique NF</t>
  </si>
  <si>
    <t>Button `push Batch TX`</t>
  </si>
  <si>
    <t>Display fraud attempts on the UI as we show duplicate</t>
  </si>
  <si>
    <t>add system's handling of emergency situations (related with kafka and handling mempool txs)</t>
  </si>
  <si>
    <t>Extension of the type for transaction id in the scanner DB</t>
  </si>
  <si>
    <t>Incorrect work with kafka</t>
  </si>
  <si>
    <t>Error when processing a failed transaction covering several transfers</t>
  </si>
  <si>
    <t>Cleaning the prod from unused tokens</t>
  </si>
  <si>
    <t>Bitcoin-like transactions do not return mempool transactions</t>
  </si>
  <si>
    <t>Failed payments block kafka handlers</t>
  </si>
  <si>
    <t>13.08 Problems with nonce on the prod</t>
  </si>
  <si>
    <t>Prepare requests to change accumulation statuses</t>
  </si>
  <si>
    <t>Business &amp; Technical analysis:</t>
  </si>
  <si>
    <t xml:space="preserve">Testing </t>
  </si>
  <si>
    <t>Nick (Analytic)</t>
  </si>
  <si>
    <t xml:space="preserve">MPC adoptation in BPS </t>
  </si>
  <si>
    <t>Modify wallet's model to add MPC properties</t>
  </si>
  <si>
    <t>Modify logic to work with MPC in BPS
    - Public keys generation using Shamir's algorythm and MPC
    - Signing TXs using Shamir's algorythm and MPC</t>
  </si>
  <si>
    <t>Add possibility to create wallet using MPC / Shamir's</t>
  </si>
  <si>
    <t>Cover new functionality with additional logs</t>
  </si>
  <si>
    <t>MPC deploy</t>
  </si>
  <si>
    <t>[Carbono] DBMS backup and restoration process</t>
  </si>
  <si>
    <t>Add MinIO in cluster</t>
  </si>
  <si>
    <t>Add `barman-cloud` backup in cluster</t>
  </si>
  <si>
    <t>Modify cfg DB to work with backups</t>
  </si>
  <si>
    <t>Create bash-script for start backups on-demand</t>
  </si>
  <si>
    <t>Add bash-script for restoring from backup via chosen time (PITR)</t>
  </si>
  <si>
    <t>Create docs for periodical test DB restoring on the Stage (runbooks)</t>
  </si>
  <si>
    <t>Add monitoring MinIO and backups in Grafana using Prometheus</t>
  </si>
  <si>
    <t>Implement different approach to work with system balances</t>
  </si>
  <si>
    <t>Add auto `extend`</t>
  </si>
  <si>
    <t>Implement balance notifications within detected differs (BC vs system)</t>
  </si>
  <si>
    <t>Extend exp. backoff functionality for `background fetching`</t>
  </si>
  <si>
    <t>Encryption for DB</t>
  </si>
  <si>
    <t>Encryption for transport layer</t>
  </si>
  <si>
    <t>Load-testing &amp; Subsequent optimization</t>
  </si>
  <si>
    <t>Add rotation mechanism for API-key</t>
  </si>
  <si>
    <t>RnD to extend generation &amp; signing sides to 3-of-5 with operator's sign</t>
  </si>
  <si>
    <t>Investigate best practices for RBAC &amp; ABAC</t>
  </si>
  <si>
    <t>Separate accumulator addresses into dedicated table</t>
  </si>
  <si>
    <t>Simplify private key upload for EVM payouts (replace file upload with textarea)</t>
  </si>
  <si>
    <t>Double-entry ledger</t>
  </si>
  <si>
    <t>Deposit-Payout flow document with diagrams</t>
  </si>
  <si>
    <t>Continue playwright autotests development</t>
  </si>
  <si>
    <t>One button run</t>
  </si>
  <si>
    <t xml:space="preserve">Implementation of scanning pending TXs in one button  </t>
  </si>
  <si>
    <t>CI/CD Integration</t>
  </si>
  <si>
    <t>[RnD] LLM Auto Test Generation</t>
  </si>
  <si>
    <t xml:space="preserve">Help desk &amp; Technical stuff </t>
  </si>
  <si>
    <t>Avalanche C-Chain + Avalanche X-Chain swap</t>
  </si>
  <si>
    <t>ADA to iancoleman</t>
  </si>
  <si>
    <t>SOL to iancoleman</t>
  </si>
  <si>
    <t>Speak with Kirill</t>
  </si>
  <si>
    <t>Adding test data for tokens. Changing the test data of the coin by the developer and tokens on the interface</t>
  </si>
  <si>
    <t>Bug: Delete unnecesarry networks, what doesn't work in Trezor (Avalanche)</t>
  </si>
  <si>
    <t>Bug: max priority fee  and max fee are not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</si>
</sst>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m"/>
    <numFmt numFmtId="165" formatCode="#,##0.0"/>
    <numFmt numFmtId="166" formatCode="#,##0.0;\(#,##0.0\)"/>
    <numFmt numFmtId="167" formatCode="d\ mmm"/>
    <numFmt numFmtId="168" formatCode="0.0"/>
  </numFmts>
  <fonts count="56">
    <font>
      <sz val="10"/>
      <color rgb="FF000000"/>
      <name val="Arial"/>
      <scheme val="minor"/>
    </font>
    <font>
      <b/>
      <sz val="10"/>
      <color theme="1"/>
      <name val="Arial"/>
      <scheme val="minor"/>
    </font>
    <font>
      <sz val="10"/>
      <color theme="1"/>
      <name val="Arial"/>
      <scheme val="minor"/>
    </font>
    <font>
      <sz val="10"/>
      <color theme="1"/>
      <name val="Arial"/>
    </font>
    <font>
      <b/>
      <sz val="10"/>
      <color theme="1"/>
      <name val="Arial"/>
    </font>
    <font>
      <sz val="10"/>
      <name val="Arial"/>
    </font>
    <font>
      <b/>
      <sz val="10"/>
      <color rgb="FF666666"/>
      <name val="Arial"/>
    </font>
    <font>
      <sz val="10"/>
      <color rgb="FF666666"/>
      <name val="Arial"/>
    </font>
    <font>
      <sz val="11"/>
      <color rgb="FF303030"/>
      <name val="-apple-system"/>
    </font>
    <font>
      <sz val="11"/>
      <color rgb="FF000000"/>
      <name val="Arial"/>
    </font>
    <font>
      <sz val="11"/>
      <color rgb="FF303030"/>
      <name val="Arial"/>
    </font>
    <font>
      <sz val="10"/>
      <color rgb="FF000000"/>
      <name val="Arial"/>
      <scheme val="minor"/>
    </font>
    <font>
      <sz val="10"/>
      <color rgb="FF333238"/>
      <name val="Arial"/>
    </font>
    <font>
      <sz val="10"/>
      <color rgb="FF333238"/>
      <name val="&quot;GitLab Sans&quot;"/>
    </font>
    <font>
      <u/>
      <sz val="10"/>
      <color rgb="FF0000FF"/>
      <name val="Arial"/>
    </font>
    <font>
      <sz val="10"/>
      <color rgb="FF000000"/>
      <name val="Arial"/>
    </font>
    <font>
      <b/>
      <i/>
      <sz val="10"/>
      <color theme="1"/>
      <name val="Arial"/>
      <scheme val="minor"/>
    </font>
    <font>
      <i/>
      <sz val="10"/>
      <color theme="1"/>
      <name val="Arial"/>
      <scheme val="minor"/>
    </font>
    <font>
      <i/>
      <sz val="10"/>
      <color rgb="FF333238"/>
      <name val="Arial"/>
    </font>
    <font>
      <i/>
      <sz val="10"/>
      <color rgb="FF333238"/>
      <name val="-apple-system"/>
    </font>
    <font>
      <b/>
      <sz val="10"/>
      <color rgb="FF999999"/>
      <name val="Arial"/>
      <scheme val="minor"/>
    </font>
    <font>
      <sz val="10"/>
      <color rgb="FF999999"/>
      <name val="Arial"/>
      <scheme val="minor"/>
    </font>
    <font>
      <sz val="10"/>
      <color theme="1"/>
      <name val="Inherit"/>
    </font>
    <font>
      <b/>
      <sz val="10"/>
      <color rgb="FF999999"/>
      <name val="Arial"/>
    </font>
    <font>
      <sz val="10"/>
      <color rgb="FF999999"/>
      <name val="Arial"/>
    </font>
    <font>
      <i/>
      <sz val="10"/>
      <color theme="1"/>
      <name val="Arial"/>
    </font>
    <font>
      <strike/>
      <sz val="10"/>
      <color theme="1"/>
      <name val="Arial"/>
    </font>
    <font>
      <b/>
      <strike/>
      <sz val="10"/>
      <color theme="1"/>
      <name val="Arial"/>
    </font>
    <font>
      <strike/>
      <sz val="10"/>
      <color rgb="FF999999"/>
      <name val="Arial"/>
    </font>
    <font>
      <b/>
      <strike/>
      <sz val="10"/>
      <color rgb="FF999999"/>
      <name val="Arial"/>
    </font>
    <font>
      <sz val="10"/>
      <color rgb="FF38761D"/>
      <name val="Arial"/>
      <scheme val="minor"/>
    </font>
    <font>
      <b/>
      <sz val="10"/>
      <color rgb="FF38761D"/>
      <name val="Arial"/>
      <scheme val="minor"/>
    </font>
    <font>
      <b/>
      <sz val="10"/>
      <color rgb="FF000000"/>
      <name val="Arial"/>
      <scheme val="minor"/>
    </font>
    <font>
      <b/>
      <sz val="10"/>
      <color rgb="FF666666"/>
      <name val="Arial"/>
      <scheme val="minor"/>
    </font>
    <font>
      <sz val="10"/>
      <color rgb="FF666666"/>
      <name val="Arial"/>
      <scheme val="minor"/>
    </font>
    <font>
      <i/>
      <sz val="10"/>
      <color rgb="FF000000"/>
      <name val="Arial"/>
      <scheme val="minor"/>
    </font>
    <font>
      <b/>
      <sz val="10"/>
      <color rgb="FFCC0000"/>
      <name val="Arial"/>
      <scheme val="minor"/>
    </font>
    <font>
      <i/>
      <strike/>
      <sz val="10"/>
      <color theme="1"/>
      <name val="Arial"/>
    </font>
    <font>
      <strike/>
      <sz val="10"/>
      <color rgb="FF666666"/>
      <name val="Arial"/>
    </font>
    <font>
      <b/>
      <strike/>
      <sz val="10"/>
      <color rgb="FF666666"/>
      <name val="Arial"/>
    </font>
    <font>
      <sz val="10"/>
      <color rgb="FF38761D"/>
      <name val="Arial"/>
    </font>
    <font>
      <sz val="10"/>
      <color rgb="FF274E13"/>
      <name val="Arial"/>
    </font>
    <font>
      <u/>
      <sz val="10"/>
      <color rgb="FF0000FF"/>
      <name val="Arial"/>
    </font>
    <font>
      <u/>
      <sz val="10"/>
      <color rgb="FF000000"/>
      <name val="Arial"/>
    </font>
    <font>
      <sz val="10"/>
      <color rgb="FFFF9900"/>
      <name val="Arial"/>
    </font>
    <font>
      <b/>
      <sz val="10"/>
      <color rgb="FFFF9900"/>
      <name val="Arial"/>
    </font>
    <font>
      <b/>
      <u/>
      <sz val="10"/>
      <color rgb="FF0000FF"/>
      <name val="Arial"/>
    </font>
    <font>
      <u/>
      <sz val="10"/>
      <color rgb="FF0000FF"/>
      <name val="Arial"/>
    </font>
    <font>
      <u/>
      <sz val="10"/>
      <color rgb="FF1155CC"/>
      <name val="Arial"/>
    </font>
    <font>
      <u/>
      <sz val="10"/>
      <color rgb="FF1155CC"/>
      <name val="Arial"/>
    </font>
    <font>
      <u/>
      <sz val="10"/>
      <color theme="1"/>
      <name val="Arial"/>
    </font>
    <font>
      <sz val="11"/>
      <color theme="1"/>
      <name val="Calibri"/>
    </font>
    <font>
      <b/>
      <sz val="10"/>
      <color theme="1"/>
      <name val="Arial"/>
    </font>
    <font>
      <b/>
      <sz val="10"/>
      <color rgb="FF000000"/>
      <name val="Arial"/>
    </font>
    <font>
      <sz val="10"/>
      <color rgb="FFFF0000"/>
      <name val="Arial"/>
    </font>
    <font>
      <strike/>
      <sz val="10"/>
      <color rgb="FF274E13"/>
      <name val="Arial"/>
    </font>
  </fonts>
  <fills count="11">
    <fill>
      <patternFill patternType="none"/>
    </fill>
    <fill>
      <patternFill patternType="gray125"/>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EAD1DC"/>
        <bgColor rgb="FFEAD1DC"/>
      </patternFill>
    </fill>
    <fill>
      <patternFill patternType="solid">
        <fgColor rgb="FFFFFFFF"/>
        <bgColor rgb="FFFFFFFF"/>
      </patternFill>
    </fill>
    <fill>
      <patternFill patternType="solid">
        <fgColor rgb="FFFF9900"/>
        <bgColor rgb="FFFF9900"/>
      </patternFill>
    </fill>
    <fill>
      <patternFill patternType="solid">
        <fgColor rgb="FFB7B7B7"/>
        <bgColor rgb="FFB7B7B7"/>
      </patternFill>
    </fill>
    <fill>
      <patternFill patternType="solid">
        <fgColor rgb="FF999999"/>
        <bgColor rgb="FF999999"/>
      </patternFill>
    </fill>
    <fill>
      <patternFill patternType="solid">
        <fgColor rgb="FFCCCCCC"/>
        <bgColor rgb="FFCCCCCC"/>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bottom style="thin">
        <color rgb="FF999999"/>
      </bottom>
      <diagonal/>
    </border>
    <border>
      <left style="thin">
        <color rgb="FF999999"/>
      </left>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bottom/>
      <diagonal/>
    </border>
    <border>
      <left/>
      <right style="thin">
        <color rgb="FF999999"/>
      </right>
      <top/>
      <bottom/>
      <diagonal/>
    </border>
    <border>
      <left style="thin">
        <color rgb="FF999999"/>
      </left>
      <right/>
      <top/>
      <bottom style="thin">
        <color rgb="FF999999"/>
      </bottom>
      <diagonal/>
    </border>
    <border>
      <left/>
      <right/>
      <top/>
      <bottom style="thin">
        <color rgb="FF999999"/>
      </bottom>
      <diagonal/>
    </border>
    <border>
      <left/>
      <right style="thin">
        <color rgb="FF999999"/>
      </right>
      <top/>
      <bottom style="thin">
        <color rgb="FF999999"/>
      </bottom>
      <diagonal/>
    </border>
    <border>
      <left/>
      <right style="thin">
        <color rgb="FF000000"/>
      </right>
      <top/>
      <bottom/>
      <diagonal/>
    </border>
    <border>
      <left/>
      <right style="thin">
        <color rgb="FF999999"/>
      </right>
      <top/>
      <bottom style="thin">
        <color rgb="FF000000"/>
      </bottom>
      <diagonal/>
    </border>
    <border>
      <left style="thin">
        <color rgb="FF999999"/>
      </left>
      <right style="thin">
        <color rgb="FF000000"/>
      </right>
      <top/>
      <bottom style="thin">
        <color rgb="FF999999"/>
      </bottom>
      <diagonal/>
    </border>
    <border>
      <left/>
      <right style="thin">
        <color rgb="FF000000"/>
      </right>
      <top/>
      <bottom style="thin">
        <color rgb="FF000000"/>
      </bottom>
      <diagonal/>
    </border>
    <border>
      <left style="thin">
        <color rgb="FF999999"/>
      </left>
      <right style="thin">
        <color rgb="FF999999"/>
      </right>
      <top/>
      <bottom/>
      <diagonal/>
    </border>
    <border>
      <left style="thin">
        <color rgb="FF666666"/>
      </left>
      <right style="thin">
        <color rgb="FF666666"/>
      </right>
      <top style="thin">
        <color rgb="FF666666"/>
      </top>
      <bottom style="thin">
        <color rgb="FF666666"/>
      </bottom>
      <diagonal/>
    </border>
    <border>
      <left/>
      <right style="thin">
        <color rgb="FF000000"/>
      </right>
      <top style="thin">
        <color rgb="FF000000"/>
      </top>
      <bottom/>
      <diagonal/>
    </border>
    <border>
      <left style="thin">
        <color rgb="FF000000"/>
      </left>
      <right/>
      <top style="thin">
        <color rgb="FF000000"/>
      </top>
      <bottom/>
      <diagonal/>
    </border>
    <border>
      <left style="thin">
        <color rgb="FF666666"/>
      </left>
      <right/>
      <top style="thin">
        <color rgb="FF666666"/>
      </top>
      <bottom style="thin">
        <color rgb="FF666666"/>
      </bottom>
      <diagonal/>
    </border>
    <border>
      <left/>
      <right style="thin">
        <color rgb="FF666666"/>
      </right>
      <top style="thin">
        <color rgb="FF666666"/>
      </top>
      <bottom style="thin">
        <color rgb="FF666666"/>
      </bottom>
      <diagonal/>
    </border>
    <border>
      <left/>
      <right/>
      <top style="thin">
        <color rgb="FF666666"/>
      </top>
      <bottom style="thin">
        <color rgb="FF666666"/>
      </bottom>
      <diagonal/>
    </border>
    <border>
      <left style="thin">
        <color rgb="FF000000"/>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diagonal/>
    </border>
  </borders>
  <cellStyleXfs count="1">
    <xf numFmtId="0" fontId="0" fillId="0" borderId="0"/>
  </cellStyleXfs>
  <cellXfs count="518">
    <xf numFmtId="0" fontId="0" fillId="0" borderId="0" xfId="0" applyFont="1" applyAlignment="1"/>
    <xf numFmtId="0" fontId="1" fillId="0" borderId="1" xfId="0" applyFont="1" applyBorder="1" applyAlignment="1">
      <alignment horizontal="center"/>
    </xf>
    <xf numFmtId="0" fontId="2" fillId="0" borderId="1" xfId="0" applyFont="1" applyBorder="1" applyAlignment="1"/>
    <xf numFmtId="0" fontId="2" fillId="0" borderId="1" xfId="0" applyFont="1" applyBorder="1" applyAlignment="1">
      <alignment wrapText="1"/>
    </xf>
    <xf numFmtId="0" fontId="2" fillId="0" borderId="1" xfId="0" applyFont="1" applyBorder="1"/>
    <xf numFmtId="0" fontId="3" fillId="0" borderId="1" xfId="0" applyFont="1" applyBorder="1" applyAlignment="1"/>
    <xf numFmtId="0" fontId="2" fillId="0" borderId="0" xfId="0" applyFont="1" applyAlignment="1"/>
    <xf numFmtId="0" fontId="2" fillId="0" borderId="0" xfId="0" applyFont="1" applyAlignment="1">
      <alignment wrapText="1"/>
    </xf>
    <xf numFmtId="0" fontId="3" fillId="0" borderId="0" xfId="0" applyFont="1" applyAlignment="1"/>
    <xf numFmtId="164" fontId="2" fillId="0" borderId="0" xfId="0" applyNumberFormat="1" applyFont="1" applyAlignment="1"/>
    <xf numFmtId="0" fontId="3" fillId="0" borderId="0" xfId="0" applyFont="1" applyAlignment="1">
      <alignment horizontal="right"/>
    </xf>
    <xf numFmtId="0" fontId="4" fillId="0" borderId="1" xfId="0" applyFont="1" applyBorder="1" applyAlignment="1"/>
    <xf numFmtId="0" fontId="3" fillId="0" borderId="0" xfId="0" applyFont="1" applyAlignment="1"/>
    <xf numFmtId="0" fontId="3" fillId="0" borderId="1" xfId="0" applyFont="1" applyBorder="1" applyAlignment="1">
      <alignment horizontal="right"/>
    </xf>
    <xf numFmtId="0" fontId="3" fillId="2" borderId="1" xfId="0" applyFont="1" applyFill="1" applyBorder="1" applyAlignment="1"/>
    <xf numFmtId="0" fontId="3" fillId="2" borderId="1" xfId="0" applyFont="1" applyFill="1" applyBorder="1" applyAlignment="1">
      <alignment horizontal="right"/>
    </xf>
    <xf numFmtId="0" fontId="3" fillId="0" borderId="0" xfId="0" applyFont="1" applyAlignment="1"/>
    <xf numFmtId="0" fontId="3" fillId="2" borderId="1" xfId="0" applyFont="1" applyFill="1" applyBorder="1" applyAlignment="1">
      <alignment horizontal="right"/>
    </xf>
    <xf numFmtId="0" fontId="3" fillId="3" borderId="1" xfId="0" applyFont="1" applyFill="1" applyBorder="1" applyAlignment="1"/>
    <xf numFmtId="0" fontId="3" fillId="3" borderId="1" xfId="0" applyFont="1" applyFill="1" applyBorder="1" applyAlignment="1">
      <alignment horizontal="right"/>
    </xf>
    <xf numFmtId="0" fontId="3" fillId="4" borderId="1" xfId="0" applyFont="1" applyFill="1" applyBorder="1" applyAlignment="1"/>
    <xf numFmtId="0" fontId="3" fillId="4" borderId="1" xfId="0" applyFont="1" applyFill="1" applyBorder="1" applyAlignment="1">
      <alignment horizontal="right"/>
    </xf>
    <xf numFmtId="0" fontId="3" fillId="4" borderId="1" xfId="0" applyFont="1" applyFill="1" applyBorder="1" applyAlignment="1">
      <alignment horizontal="right"/>
    </xf>
    <xf numFmtId="0" fontId="3" fillId="5" borderId="1" xfId="0" applyFont="1" applyFill="1" applyBorder="1" applyAlignment="1"/>
    <xf numFmtId="0" fontId="3" fillId="5" borderId="1" xfId="0" applyFont="1" applyFill="1" applyBorder="1" applyAlignment="1">
      <alignment horizontal="right"/>
    </xf>
    <xf numFmtId="0" fontId="3" fillId="5" borderId="1" xfId="0" applyFont="1" applyFill="1" applyBorder="1" applyAlignment="1"/>
    <xf numFmtId="0" fontId="3" fillId="5" borderId="1" xfId="0" applyFont="1" applyFill="1" applyBorder="1" applyAlignment="1">
      <alignment horizontal="right"/>
    </xf>
    <xf numFmtId="0" fontId="4" fillId="2" borderId="1" xfId="0" applyFont="1" applyFill="1" applyBorder="1" applyAlignment="1">
      <alignment horizontal="right"/>
    </xf>
    <xf numFmtId="0" fontId="4" fillId="0" borderId="9" xfId="0" applyFont="1" applyBorder="1" applyAlignment="1">
      <alignment horizontal="center" wrapText="1"/>
    </xf>
    <xf numFmtId="3" fontId="4" fillId="0" borderId="9" xfId="0" applyNumberFormat="1" applyFont="1" applyBorder="1" applyAlignment="1">
      <alignment horizontal="center" wrapText="1"/>
    </xf>
    <xf numFmtId="165" fontId="4" fillId="0" borderId="9" xfId="0" applyNumberFormat="1" applyFont="1" applyBorder="1" applyAlignment="1">
      <alignment horizontal="center" wrapText="1"/>
    </xf>
    <xf numFmtId="3" fontId="6" fillId="0" borderId="9" xfId="0" applyNumberFormat="1" applyFont="1" applyBorder="1" applyAlignment="1">
      <alignment horizontal="center" wrapText="1"/>
    </xf>
    <xf numFmtId="165" fontId="6" fillId="0" borderId="9" xfId="0" applyNumberFormat="1" applyFont="1" applyBorder="1" applyAlignment="1">
      <alignment horizontal="center" wrapText="1"/>
    </xf>
    <xf numFmtId="0" fontId="3" fillId="0" borderId="9" xfId="0" applyFont="1" applyBorder="1" applyAlignment="1">
      <alignment horizontal="right"/>
    </xf>
    <xf numFmtId="0" fontId="3" fillId="0" borderId="9" xfId="0" applyFont="1" applyBorder="1" applyAlignment="1"/>
    <xf numFmtId="165" fontId="3" fillId="0" borderId="9" xfId="0" applyNumberFormat="1" applyFont="1" applyBorder="1" applyAlignment="1">
      <alignment horizontal="right"/>
    </xf>
    <xf numFmtId="0" fontId="4" fillId="0" borderId="9" xfId="0" applyFont="1" applyBorder="1" applyAlignment="1">
      <alignment horizontal="center"/>
    </xf>
    <xf numFmtId="0" fontId="4" fillId="0" borderId="9" xfId="0" applyFont="1" applyBorder="1" applyAlignment="1">
      <alignment horizontal="right"/>
    </xf>
    <xf numFmtId="0" fontId="7" fillId="0" borderId="9" xfId="0" applyFont="1" applyBorder="1" applyAlignment="1">
      <alignment horizontal="right"/>
    </xf>
    <xf numFmtId="0" fontId="3" fillId="0" borderId="9" xfId="0" applyFont="1" applyBorder="1" applyAlignment="1">
      <alignment horizontal="right"/>
    </xf>
    <xf numFmtId="0" fontId="4" fillId="0" borderId="9" xfId="0" applyFont="1" applyBorder="1" applyAlignment="1"/>
    <xf numFmtId="0" fontId="3" fillId="0" borderId="9" xfId="0" applyFont="1" applyBorder="1" applyAlignment="1"/>
    <xf numFmtId="0" fontId="3" fillId="0" borderId="9" xfId="0" applyFont="1" applyBorder="1" applyAlignment="1">
      <alignment wrapText="1"/>
    </xf>
    <xf numFmtId="165" fontId="3" fillId="0" borderId="9" xfId="0" applyNumberFormat="1" applyFont="1" applyBorder="1" applyAlignment="1"/>
    <xf numFmtId="165" fontId="4" fillId="0" borderId="9" xfId="0" applyNumberFormat="1" applyFont="1" applyBorder="1" applyAlignment="1">
      <alignment horizontal="right"/>
    </xf>
    <xf numFmtId="165" fontId="6" fillId="0" borderId="9" xfId="0" applyNumberFormat="1" applyFont="1" applyBorder="1" applyAlignment="1">
      <alignment horizontal="right"/>
    </xf>
    <xf numFmtId="0" fontId="4" fillId="0" borderId="9" xfId="0" applyFont="1" applyBorder="1" applyAlignment="1">
      <alignment wrapText="1"/>
    </xf>
    <xf numFmtId="0" fontId="3" fillId="0" borderId="5" xfId="0" applyFont="1" applyBorder="1" applyAlignment="1"/>
    <xf numFmtId="0" fontId="3" fillId="0" borderId="1" xfId="0" applyFont="1" applyBorder="1" applyAlignment="1">
      <alignment horizontal="right"/>
    </xf>
    <xf numFmtId="166" fontId="3" fillId="0" borderId="1" xfId="0" applyNumberFormat="1" applyFont="1" applyBorder="1" applyAlignment="1"/>
    <xf numFmtId="0" fontId="3" fillId="0" borderId="1" xfId="0" applyFont="1" applyBorder="1" applyAlignment="1">
      <alignment horizontal="right"/>
    </xf>
    <xf numFmtId="0" fontId="3" fillId="0" borderId="1" xfId="0" applyFont="1" applyBorder="1" applyAlignment="1"/>
    <xf numFmtId="0" fontId="3" fillId="0" borderId="1" xfId="0" applyFont="1" applyBorder="1" applyAlignment="1"/>
    <xf numFmtId="0" fontId="2" fillId="0" borderId="0" xfId="0" applyFont="1" applyAlignment="1">
      <alignment horizontal="center"/>
    </xf>
    <xf numFmtId="2" fontId="2" fillId="0" borderId="0" xfId="0" applyNumberFormat="1" applyFont="1"/>
    <xf numFmtId="0" fontId="2" fillId="0" borderId="1" xfId="0" applyFont="1" applyBorder="1" applyAlignment="1">
      <alignment horizontal="center"/>
    </xf>
    <xf numFmtId="0" fontId="8" fillId="0" borderId="1" xfId="0" applyFont="1" applyBorder="1" applyAlignment="1">
      <alignment horizontal="left"/>
    </xf>
    <xf numFmtId="0" fontId="3" fillId="0" borderId="4" xfId="0" applyFont="1" applyBorder="1" applyAlignment="1">
      <alignment horizontal="right"/>
    </xf>
    <xf numFmtId="166" fontId="3" fillId="0" borderId="4" xfId="0" applyNumberFormat="1" applyFont="1" applyBorder="1" applyAlignment="1"/>
    <xf numFmtId="0" fontId="3" fillId="0" borderId="4" xfId="0" applyFont="1" applyBorder="1" applyAlignment="1"/>
    <xf numFmtId="0" fontId="9" fillId="0" borderId="1" xfId="0" applyFont="1" applyBorder="1" applyAlignment="1">
      <alignment wrapText="1"/>
    </xf>
    <xf numFmtId="0" fontId="9" fillId="6" borderId="0" xfId="0" applyFont="1" applyFill="1" applyAlignment="1">
      <alignment horizontal="left" wrapText="1"/>
    </xf>
    <xf numFmtId="0" fontId="10" fillId="0" borderId="1" xfId="0" applyFont="1" applyBorder="1" applyAlignment="1">
      <alignment horizontal="left"/>
    </xf>
    <xf numFmtId="0" fontId="2" fillId="0" borderId="1" xfId="0" applyFont="1" applyBorder="1" applyAlignment="1">
      <alignment horizontal="right"/>
    </xf>
    <xf numFmtId="0" fontId="3" fillId="3" borderId="4" xfId="0" applyFont="1" applyFill="1" applyBorder="1" applyAlignment="1">
      <alignment horizontal="right"/>
    </xf>
    <xf numFmtId="0" fontId="10" fillId="0" borderId="1" xfId="0" applyFont="1" applyBorder="1" applyAlignment="1">
      <alignment horizontal="left" wrapText="1"/>
    </xf>
    <xf numFmtId="0" fontId="9" fillId="0" borderId="1" xfId="0" applyFont="1" applyBorder="1" applyAlignment="1">
      <alignment horizontal="left" wrapText="1"/>
    </xf>
    <xf numFmtId="0" fontId="9" fillId="0" borderId="1" xfId="0" applyFont="1" applyBorder="1" applyAlignment="1">
      <alignment horizontal="center" wrapText="1"/>
    </xf>
    <xf numFmtId="0" fontId="2" fillId="0" borderId="19" xfId="0" applyFont="1" applyBorder="1"/>
    <xf numFmtId="0" fontId="9" fillId="6" borderId="1" xfId="0" applyFont="1" applyFill="1" applyBorder="1" applyAlignment="1">
      <alignment horizontal="left" wrapText="1"/>
    </xf>
    <xf numFmtId="0" fontId="9" fillId="6" borderId="1" xfId="0" applyFont="1" applyFill="1" applyBorder="1" applyAlignment="1">
      <alignment horizontal="left"/>
    </xf>
    <xf numFmtId="0" fontId="9" fillId="0" borderId="0" xfId="0" applyFont="1" applyAlignment="1">
      <alignment wrapText="1"/>
    </xf>
    <xf numFmtId="0" fontId="9" fillId="6" borderId="0" xfId="0" applyFont="1" applyFill="1" applyAlignment="1">
      <alignment horizontal="left"/>
    </xf>
    <xf numFmtId="0" fontId="3" fillId="7" borderId="1" xfId="0" applyFont="1" applyFill="1" applyBorder="1" applyAlignment="1">
      <alignment horizontal="right"/>
    </xf>
    <xf numFmtId="0" fontId="2" fillId="0" borderId="4" xfId="0" applyFont="1" applyBorder="1" applyAlignment="1"/>
    <xf numFmtId="0" fontId="3" fillId="7" borderId="1" xfId="0" applyFont="1" applyFill="1" applyBorder="1" applyAlignment="1"/>
    <xf numFmtId="0" fontId="1" fillId="0" borderId="1" xfId="0" applyFont="1" applyBorder="1" applyAlignment="1"/>
    <xf numFmtId="0" fontId="1" fillId="0" borderId="1" xfId="0" applyFont="1" applyBorder="1"/>
    <xf numFmtId="0" fontId="1" fillId="0" borderId="1" xfId="0" applyFont="1" applyBorder="1" applyAlignment="1">
      <alignment horizontal="center" vertical="center" wrapText="1"/>
    </xf>
    <xf numFmtId="0" fontId="2" fillId="0" borderId="1" xfId="0" applyFont="1" applyBorder="1" applyAlignment="1">
      <alignment vertical="center"/>
    </xf>
    <xf numFmtId="0" fontId="3" fillId="0" borderId="1" xfId="0" applyFont="1" applyBorder="1" applyAlignment="1">
      <alignment vertical="center" wrapText="1"/>
    </xf>
    <xf numFmtId="0" fontId="2" fillId="0" borderId="1" xfId="0" applyFont="1" applyBorder="1" applyAlignment="1">
      <alignment vertical="center"/>
    </xf>
    <xf numFmtId="0" fontId="3" fillId="0" borderId="1" xfId="0" applyFont="1" applyBorder="1" applyAlignment="1">
      <alignment horizontal="right" vertical="center"/>
    </xf>
    <xf numFmtId="0" fontId="3" fillId="0" borderId="1" xfId="0" applyFont="1" applyBorder="1" applyAlignment="1">
      <alignment vertical="center"/>
    </xf>
    <xf numFmtId="0" fontId="2" fillId="0" borderId="0" xfId="0" applyFont="1" applyAlignment="1">
      <alignment vertical="center"/>
    </xf>
    <xf numFmtId="0" fontId="2" fillId="0" borderId="0" xfId="0" applyFont="1" applyAlignment="1">
      <alignment vertical="center" wrapText="1"/>
    </xf>
    <xf numFmtId="0" fontId="2" fillId="8" borderId="1" xfId="0" applyFont="1" applyFill="1" applyBorder="1" applyAlignment="1"/>
    <xf numFmtId="0" fontId="2" fillId="9" borderId="1" xfId="0" applyFont="1" applyFill="1" applyBorder="1" applyAlignment="1"/>
    <xf numFmtId="0" fontId="2" fillId="9" borderId="1" xfId="0" applyFont="1" applyFill="1" applyBorder="1"/>
    <xf numFmtId="9" fontId="2" fillId="0" borderId="0" xfId="0" applyNumberFormat="1" applyFont="1"/>
    <xf numFmtId="0" fontId="2" fillId="10" borderId="1" xfId="0" applyFont="1" applyFill="1" applyBorder="1" applyAlignment="1"/>
    <xf numFmtId="0" fontId="2" fillId="10" borderId="1" xfId="0" applyFont="1" applyFill="1" applyBorder="1"/>
    <xf numFmtId="0" fontId="2" fillId="8" borderId="1" xfId="0" applyFont="1" applyFill="1" applyBorder="1" applyAlignment="1">
      <alignment wrapText="1"/>
    </xf>
    <xf numFmtId="0" fontId="2" fillId="8" borderId="1" xfId="0" applyFont="1" applyFill="1" applyBorder="1"/>
    <xf numFmtId="0" fontId="2" fillId="2" borderId="1" xfId="0" applyFont="1" applyFill="1" applyBorder="1" applyAlignment="1">
      <alignment wrapText="1"/>
    </xf>
    <xf numFmtId="0" fontId="2" fillId="2" borderId="1" xfId="0" applyFont="1" applyFill="1" applyBorder="1"/>
    <xf numFmtId="0" fontId="2" fillId="2" borderId="1" xfId="0" applyFont="1" applyFill="1" applyBorder="1" applyAlignment="1"/>
    <xf numFmtId="0" fontId="11" fillId="2" borderId="1" xfId="0" applyFont="1" applyFill="1" applyBorder="1" applyAlignment="1">
      <alignment wrapText="1"/>
    </xf>
    <xf numFmtId="0" fontId="12" fillId="6" borderId="1" xfId="0" applyFont="1" applyFill="1" applyBorder="1" applyAlignment="1">
      <alignment wrapText="1"/>
    </xf>
    <xf numFmtId="0" fontId="13" fillId="6" borderId="0" xfId="0" applyFont="1" applyFill="1" applyAlignment="1">
      <alignment wrapText="1"/>
    </xf>
    <xf numFmtId="0" fontId="14" fillId="6" borderId="1" xfId="0" applyFont="1" applyFill="1" applyBorder="1" applyAlignment="1">
      <alignment wrapText="1"/>
    </xf>
    <xf numFmtId="0" fontId="13" fillId="6" borderId="1" xfId="0" applyFont="1" applyFill="1" applyBorder="1" applyAlignment="1">
      <alignment wrapText="1"/>
    </xf>
    <xf numFmtId="0" fontId="3" fillId="6" borderId="1" xfId="0" applyFont="1" applyFill="1" applyBorder="1" applyAlignment="1">
      <alignment wrapText="1"/>
    </xf>
    <xf numFmtId="0" fontId="12" fillId="6" borderId="0" xfId="0" applyFont="1" applyFill="1" applyAlignment="1">
      <alignment wrapText="1"/>
    </xf>
    <xf numFmtId="0" fontId="11" fillId="0" borderId="1" xfId="0" applyFont="1" applyBorder="1" applyAlignment="1"/>
    <xf numFmtId="0" fontId="15" fillId="6" borderId="0" xfId="0" applyFont="1" applyFill="1" applyAlignment="1">
      <alignment horizontal="left" wrapText="1"/>
    </xf>
    <xf numFmtId="0" fontId="3" fillId="2" borderId="1" xfId="0" applyFont="1" applyFill="1" applyBorder="1" applyAlignment="1"/>
    <xf numFmtId="0" fontId="3" fillId="2" borderId="1" xfId="0" applyFont="1" applyFill="1" applyBorder="1" applyAlignment="1">
      <alignment horizontal="right"/>
    </xf>
    <xf numFmtId="0" fontId="3" fillId="3" borderId="1" xfId="0" applyFont="1" applyFill="1" applyBorder="1" applyAlignment="1"/>
    <xf numFmtId="0" fontId="3" fillId="4" borderId="1" xfId="0" applyFont="1" applyFill="1" applyBorder="1" applyAlignment="1"/>
    <xf numFmtId="0" fontId="3" fillId="4" borderId="1" xfId="0" applyFont="1" applyFill="1" applyBorder="1" applyAlignment="1">
      <alignment horizontal="right"/>
    </xf>
    <xf numFmtId="0" fontId="3" fillId="5" borderId="1" xfId="0" applyFont="1" applyFill="1" applyBorder="1" applyAlignment="1"/>
    <xf numFmtId="0" fontId="1" fillId="0" borderId="9" xfId="0" applyFont="1" applyBorder="1" applyAlignment="1">
      <alignment wrapText="1"/>
    </xf>
    <xf numFmtId="165" fontId="1" fillId="0" borderId="9" xfId="0" applyNumberFormat="1" applyFont="1" applyBorder="1" applyAlignment="1">
      <alignment wrapText="1"/>
    </xf>
    <xf numFmtId="0" fontId="2" fillId="0" borderId="0" xfId="0" applyFont="1" applyAlignment="1">
      <alignment wrapText="1"/>
    </xf>
    <xf numFmtId="0" fontId="2" fillId="0" borderId="9" xfId="0" applyFont="1" applyBorder="1" applyAlignment="1"/>
    <xf numFmtId="0" fontId="2" fillId="0" borderId="9" xfId="0" applyFont="1" applyBorder="1"/>
    <xf numFmtId="165" fontId="1" fillId="0" borderId="9" xfId="0" applyNumberFormat="1" applyFont="1" applyBorder="1"/>
    <xf numFmtId="0" fontId="16" fillId="0" borderId="9" xfId="0" applyFont="1" applyBorder="1" applyAlignment="1">
      <alignment horizontal="left"/>
    </xf>
    <xf numFmtId="0" fontId="17" fillId="0" borderId="9" xfId="0" applyFont="1" applyBorder="1" applyAlignment="1">
      <alignment horizontal="left"/>
    </xf>
    <xf numFmtId="0" fontId="18" fillId="6" borderId="9" xfId="0" applyFont="1" applyFill="1" applyBorder="1" applyAlignment="1">
      <alignment horizontal="left" wrapText="1"/>
    </xf>
    <xf numFmtId="0" fontId="19" fillId="6" borderId="9" xfId="0" applyFont="1" applyFill="1" applyBorder="1" applyAlignment="1">
      <alignment horizontal="left" wrapText="1"/>
    </xf>
    <xf numFmtId="0" fontId="16" fillId="0" borderId="9" xfId="0" applyFont="1" applyBorder="1" applyAlignment="1"/>
    <xf numFmtId="165" fontId="2" fillId="0" borderId="0" xfId="0" applyNumberFormat="1" applyFont="1"/>
    <xf numFmtId="0" fontId="3" fillId="3" borderId="1" xfId="0" applyFont="1" applyFill="1" applyBorder="1" applyAlignment="1">
      <alignment horizontal="right"/>
    </xf>
    <xf numFmtId="0" fontId="3" fillId="5" borderId="1" xfId="0" applyFont="1" applyFill="1" applyBorder="1" applyAlignment="1">
      <alignment horizontal="right"/>
    </xf>
    <xf numFmtId="0" fontId="1" fillId="0" borderId="10" xfId="0" applyFont="1" applyBorder="1" applyAlignment="1">
      <alignment wrapText="1"/>
    </xf>
    <xf numFmtId="165" fontId="1" fillId="0" borderId="10" xfId="0" applyNumberFormat="1" applyFont="1" applyBorder="1" applyAlignment="1">
      <alignment wrapText="1"/>
    </xf>
    <xf numFmtId="0" fontId="20" fillId="0" borderId="10" xfId="0" applyFont="1" applyBorder="1" applyAlignment="1">
      <alignment wrapText="1"/>
    </xf>
    <xf numFmtId="165" fontId="20" fillId="0" borderId="16" xfId="0" applyNumberFormat="1" applyFont="1" applyBorder="1" applyAlignment="1">
      <alignment wrapText="1"/>
    </xf>
    <xf numFmtId="0" fontId="1" fillId="0" borderId="1" xfId="0" applyFont="1" applyBorder="1" applyAlignment="1">
      <alignment wrapText="1"/>
    </xf>
    <xf numFmtId="0" fontId="21" fillId="0" borderId="9" xfId="0" applyFont="1" applyBorder="1" applyAlignment="1"/>
    <xf numFmtId="0" fontId="21" fillId="0" borderId="9" xfId="0" applyFont="1" applyBorder="1"/>
    <xf numFmtId="165" fontId="20" fillId="0" borderId="5" xfId="0" applyNumberFormat="1" applyFont="1" applyBorder="1"/>
    <xf numFmtId="0" fontId="22" fillId="0" borderId="0" xfId="0" applyFont="1" applyAlignment="1"/>
    <xf numFmtId="0" fontId="2" fillId="0" borderId="9" xfId="0" applyFont="1" applyBorder="1"/>
    <xf numFmtId="0" fontId="21" fillId="0" borderId="9" xfId="0" applyFont="1" applyBorder="1"/>
    <xf numFmtId="165" fontId="20" fillId="0" borderId="11" xfId="0" applyNumberFormat="1" applyFont="1" applyBorder="1"/>
    <xf numFmtId="0" fontId="21" fillId="0" borderId="5" xfId="0" applyFont="1" applyBorder="1"/>
    <xf numFmtId="165" fontId="20" fillId="0" borderId="1" xfId="0" applyNumberFormat="1" applyFont="1" applyBorder="1"/>
    <xf numFmtId="0" fontId="21" fillId="0" borderId="0" xfId="0" applyFont="1"/>
    <xf numFmtId="0" fontId="21" fillId="0" borderId="1" xfId="0" applyFont="1" applyBorder="1"/>
    <xf numFmtId="0" fontId="4" fillId="0" borderId="10" xfId="0" applyFont="1" applyBorder="1" applyAlignment="1">
      <alignment wrapText="1"/>
    </xf>
    <xf numFmtId="0" fontId="4" fillId="0" borderId="18" xfId="0" applyFont="1" applyBorder="1" applyAlignment="1">
      <alignment wrapText="1"/>
    </xf>
    <xf numFmtId="165" fontId="4" fillId="0" borderId="18" xfId="0" applyNumberFormat="1" applyFont="1" applyBorder="1" applyAlignment="1">
      <alignment wrapText="1"/>
    </xf>
    <xf numFmtId="0" fontId="23" fillId="0" borderId="18" xfId="0" applyFont="1" applyBorder="1" applyAlignment="1">
      <alignment wrapText="1"/>
    </xf>
    <xf numFmtId="165" fontId="23" fillId="0" borderId="17" xfId="0" applyNumberFormat="1" applyFont="1" applyBorder="1" applyAlignment="1">
      <alignment wrapText="1"/>
    </xf>
    <xf numFmtId="0" fontId="4" fillId="0" borderId="9" xfId="0" applyFont="1" applyBorder="1" applyAlignment="1">
      <alignment wrapText="1"/>
    </xf>
    <xf numFmtId="0" fontId="3" fillId="0" borderId="10" xfId="0" applyFont="1" applyBorder="1" applyAlignment="1">
      <alignment horizontal="right"/>
    </xf>
    <xf numFmtId="0" fontId="3" fillId="0" borderId="20" xfId="0" applyFont="1" applyBorder="1" applyAlignment="1"/>
    <xf numFmtId="0" fontId="3" fillId="0" borderId="18" xfId="0" applyFont="1" applyBorder="1" applyAlignment="1">
      <alignment horizontal="right"/>
    </xf>
    <xf numFmtId="0" fontId="3" fillId="0" borderId="18" xfId="0" applyFont="1" applyBorder="1" applyAlignment="1"/>
    <xf numFmtId="165" fontId="4" fillId="0" borderId="18" xfId="0" applyNumberFormat="1" applyFont="1" applyBorder="1" applyAlignment="1">
      <alignment horizontal="right"/>
    </xf>
    <xf numFmtId="0" fontId="24" fillId="0" borderId="9" xfId="0" applyFont="1" applyBorder="1" applyAlignment="1">
      <alignment horizontal="right"/>
    </xf>
    <xf numFmtId="0" fontId="24" fillId="0" borderId="18" xfId="0" applyFont="1" applyBorder="1" applyAlignment="1">
      <alignment horizontal="right"/>
    </xf>
    <xf numFmtId="165" fontId="23" fillId="0" borderId="17" xfId="0" applyNumberFormat="1" applyFont="1" applyBorder="1" applyAlignment="1">
      <alignment horizontal="right"/>
    </xf>
    <xf numFmtId="0" fontId="3" fillId="0" borderId="21" xfId="0" applyFont="1" applyBorder="1" applyAlignment="1">
      <alignment horizontal="right"/>
    </xf>
    <xf numFmtId="0" fontId="3" fillId="0" borderId="22" xfId="0" applyFont="1" applyBorder="1" applyAlignment="1"/>
    <xf numFmtId="0" fontId="3" fillId="0" borderId="22" xfId="0" applyFont="1" applyBorder="1" applyAlignment="1">
      <alignment horizontal="right"/>
    </xf>
    <xf numFmtId="165" fontId="4" fillId="0" borderId="17" xfId="0" applyNumberFormat="1" applyFont="1" applyBorder="1" applyAlignment="1">
      <alignment horizontal="right"/>
    </xf>
    <xf numFmtId="0" fontId="4" fillId="0" borderId="18" xfId="0" applyFont="1" applyBorder="1" applyAlignment="1"/>
    <xf numFmtId="0" fontId="3" fillId="0" borderId="10" xfId="0" applyFont="1" applyBorder="1" applyAlignment="1"/>
    <xf numFmtId="0" fontId="25" fillId="6" borderId="0" xfId="0" applyFont="1" applyFill="1" applyAlignment="1"/>
    <xf numFmtId="165" fontId="3" fillId="0" borderId="18" xfId="0" applyNumberFormat="1" applyFont="1" applyBorder="1" applyAlignment="1"/>
    <xf numFmtId="165" fontId="3" fillId="0" borderId="17" xfId="0" applyNumberFormat="1" applyFont="1" applyBorder="1" applyAlignment="1"/>
    <xf numFmtId="0" fontId="25" fillId="0" borderId="18" xfId="0" applyFont="1" applyBorder="1" applyAlignment="1"/>
    <xf numFmtId="0" fontId="26" fillId="0" borderId="10" xfId="0" applyFont="1" applyBorder="1" applyAlignment="1">
      <alignment horizontal="right"/>
    </xf>
    <xf numFmtId="0" fontId="26" fillId="0" borderId="18" xfId="0" applyFont="1" applyBorder="1" applyAlignment="1"/>
    <xf numFmtId="165" fontId="27" fillId="0" borderId="18" xfId="0" applyNumberFormat="1" applyFont="1" applyBorder="1" applyAlignment="1">
      <alignment horizontal="right"/>
    </xf>
    <xf numFmtId="0" fontId="28" fillId="0" borderId="18" xfId="0" applyFont="1" applyBorder="1" applyAlignment="1">
      <alignment horizontal="right"/>
    </xf>
    <xf numFmtId="165" fontId="29" fillId="0" borderId="17" xfId="0" applyNumberFormat="1" applyFont="1" applyBorder="1" applyAlignment="1">
      <alignment horizontal="right"/>
    </xf>
    <xf numFmtId="0" fontId="3" fillId="0" borderId="23" xfId="0" applyFont="1" applyBorder="1" applyAlignment="1">
      <alignment horizontal="right"/>
    </xf>
    <xf numFmtId="0" fontId="3" fillId="0" borderId="15" xfId="0" applyFont="1" applyBorder="1" applyAlignment="1"/>
    <xf numFmtId="0" fontId="3" fillId="0" borderId="15" xfId="0" applyFont="1" applyBorder="1" applyAlignment="1">
      <alignment horizontal="right"/>
    </xf>
    <xf numFmtId="165" fontId="4" fillId="0" borderId="15" xfId="0" applyNumberFormat="1" applyFont="1" applyBorder="1" applyAlignment="1">
      <alignment horizontal="right"/>
    </xf>
    <xf numFmtId="0" fontId="25" fillId="0" borderId="9" xfId="0" applyFont="1" applyBorder="1" applyAlignment="1"/>
    <xf numFmtId="165" fontId="23" fillId="0" borderId="0" xfId="0" applyNumberFormat="1" applyFont="1" applyAlignment="1">
      <alignment horizontal="right"/>
    </xf>
    <xf numFmtId="165" fontId="29" fillId="0" borderId="24" xfId="0" applyNumberFormat="1" applyFont="1" applyBorder="1" applyAlignment="1"/>
    <xf numFmtId="165" fontId="29" fillId="0" borderId="24" xfId="0" applyNumberFormat="1" applyFont="1" applyBorder="1" applyAlignment="1">
      <alignment horizontal="right"/>
    </xf>
    <xf numFmtId="165" fontId="23" fillId="0" borderId="24" xfId="0" applyNumberFormat="1" applyFont="1" applyBorder="1" applyAlignment="1"/>
    <xf numFmtId="165" fontId="23" fillId="0" borderId="24" xfId="0" applyNumberFormat="1" applyFont="1" applyBorder="1" applyAlignment="1">
      <alignment horizontal="right"/>
    </xf>
    <xf numFmtId="165" fontId="3" fillId="0" borderId="0" xfId="0" applyNumberFormat="1" applyFont="1" applyAlignment="1"/>
    <xf numFmtId="0" fontId="25" fillId="0" borderId="9" xfId="0" applyFont="1" applyBorder="1" applyAlignment="1">
      <alignment wrapText="1"/>
    </xf>
    <xf numFmtId="0" fontId="3" fillId="6" borderId="9" xfId="0" applyFont="1" applyFill="1" applyBorder="1" applyAlignment="1"/>
    <xf numFmtId="0" fontId="1" fillId="0" borderId="16" xfId="0" applyFont="1" applyBorder="1" applyAlignment="1">
      <alignment wrapText="1"/>
    </xf>
    <xf numFmtId="165" fontId="1" fillId="0" borderId="1" xfId="0" applyNumberFormat="1" applyFont="1" applyBorder="1" applyAlignment="1">
      <alignment wrapText="1"/>
    </xf>
    <xf numFmtId="0" fontId="20" fillId="0" borderId="1" xfId="0" applyFont="1" applyBorder="1" applyAlignment="1">
      <alignment wrapText="1"/>
    </xf>
    <xf numFmtId="165" fontId="20" fillId="0" borderId="1" xfId="0" applyNumberFormat="1" applyFont="1" applyBorder="1" applyAlignment="1">
      <alignment wrapText="1"/>
    </xf>
    <xf numFmtId="0" fontId="4" fillId="0" borderId="1" xfId="0" applyFont="1" applyBorder="1" applyAlignment="1">
      <alignment wrapText="1"/>
    </xf>
    <xf numFmtId="0" fontId="2" fillId="0" borderId="5" xfId="0" applyFont="1" applyBorder="1" applyAlignment="1"/>
    <xf numFmtId="165" fontId="1" fillId="0" borderId="1" xfId="0" applyNumberFormat="1" applyFont="1" applyBorder="1"/>
    <xf numFmtId="0" fontId="21" fillId="0" borderId="1" xfId="0" applyFont="1" applyBorder="1" applyAlignment="1"/>
    <xf numFmtId="0" fontId="1" fillId="0" borderId="5" xfId="0" applyFont="1" applyBorder="1" applyAlignment="1"/>
    <xf numFmtId="0" fontId="2" fillId="0" borderId="8" xfId="0" applyFont="1" applyBorder="1" applyAlignment="1"/>
    <xf numFmtId="0" fontId="17" fillId="0" borderId="11" xfId="0" applyFont="1" applyBorder="1" applyAlignment="1"/>
    <xf numFmtId="0" fontId="17" fillId="0" borderId="5" xfId="0" applyFont="1" applyBorder="1" applyAlignment="1"/>
    <xf numFmtId="0" fontId="2" fillId="0" borderId="1" xfId="0" applyFont="1" applyBorder="1" applyAlignment="1">
      <alignment horizontal="left" wrapText="1"/>
    </xf>
    <xf numFmtId="0" fontId="30" fillId="0" borderId="1" xfId="0" applyFont="1" applyBorder="1" applyAlignment="1"/>
    <xf numFmtId="0" fontId="30" fillId="0" borderId="1" xfId="0" applyFont="1" applyBorder="1"/>
    <xf numFmtId="165" fontId="31" fillId="0" borderId="1" xfId="0" applyNumberFormat="1" applyFont="1" applyBorder="1"/>
    <xf numFmtId="0" fontId="2" fillId="0" borderId="23" xfId="0" applyFont="1" applyBorder="1" applyAlignment="1"/>
    <xf numFmtId="0" fontId="2" fillId="0" borderId="10" xfId="0" applyFont="1" applyBorder="1" applyAlignment="1"/>
    <xf numFmtId="0" fontId="2" fillId="0" borderId="10" xfId="0" applyFont="1" applyBorder="1"/>
    <xf numFmtId="165" fontId="1" fillId="0" borderId="10" xfId="0" applyNumberFormat="1" applyFont="1" applyBorder="1"/>
    <xf numFmtId="0" fontId="1" fillId="0" borderId="6" xfId="0" applyFont="1" applyBorder="1" applyAlignment="1"/>
    <xf numFmtId="0" fontId="20" fillId="0" borderId="1" xfId="0" applyFont="1" applyBorder="1" applyAlignment="1"/>
    <xf numFmtId="0" fontId="3" fillId="0" borderId="9" xfId="0" applyFont="1" applyBorder="1" applyAlignment="1">
      <alignment horizontal="right"/>
    </xf>
    <xf numFmtId="0" fontId="3" fillId="0" borderId="9" xfId="0" applyFont="1" applyBorder="1" applyAlignment="1"/>
    <xf numFmtId="0" fontId="25" fillId="0" borderId="9" xfId="0" applyFont="1" applyBorder="1" applyAlignment="1">
      <alignment wrapText="1"/>
    </xf>
    <xf numFmtId="0" fontId="32" fillId="0" borderId="24" xfId="0" applyFont="1" applyBorder="1" applyAlignment="1">
      <alignment horizontal="center"/>
    </xf>
    <xf numFmtId="165" fontId="1" fillId="0" borderId="16" xfId="0" applyNumberFormat="1" applyFont="1" applyBorder="1" applyAlignment="1">
      <alignment wrapText="1"/>
    </xf>
    <xf numFmtId="0" fontId="32" fillId="0" borderId="24" xfId="0" applyFont="1" applyBorder="1" applyAlignment="1">
      <alignment wrapText="1"/>
    </xf>
    <xf numFmtId="0" fontId="33" fillId="0" borderId="6" xfId="0" applyFont="1" applyBorder="1" applyAlignment="1">
      <alignment wrapText="1"/>
    </xf>
    <xf numFmtId="0" fontId="33" fillId="0" borderId="9" xfId="0" applyFont="1" applyBorder="1" applyAlignment="1">
      <alignment wrapText="1"/>
    </xf>
    <xf numFmtId="165" fontId="33" fillId="0" borderId="9" xfId="0" applyNumberFormat="1" applyFont="1" applyBorder="1" applyAlignment="1">
      <alignment wrapText="1"/>
    </xf>
    <xf numFmtId="0" fontId="1" fillId="0" borderId="9" xfId="0" applyFont="1" applyBorder="1" applyAlignment="1"/>
    <xf numFmtId="165" fontId="1" fillId="0" borderId="5" xfId="0" applyNumberFormat="1" applyFont="1" applyBorder="1"/>
    <xf numFmtId="0" fontId="11" fillId="0" borderId="24" xfId="0" applyFont="1" applyBorder="1" applyAlignment="1"/>
    <xf numFmtId="0" fontId="34" fillId="0" borderId="6" xfId="0" applyFont="1" applyBorder="1" applyAlignment="1"/>
    <xf numFmtId="0" fontId="34" fillId="0" borderId="9" xfId="0" applyFont="1" applyBorder="1" applyAlignment="1"/>
    <xf numFmtId="0" fontId="34" fillId="0" borderId="9" xfId="0" applyFont="1" applyBorder="1"/>
    <xf numFmtId="165" fontId="33" fillId="0" borderId="9" xfId="0" applyNumberFormat="1" applyFont="1" applyBorder="1"/>
    <xf numFmtId="0" fontId="17" fillId="0" borderId="9" xfId="0" applyFont="1" applyBorder="1" applyAlignment="1"/>
    <xf numFmtId="0" fontId="17" fillId="0" borderId="8" xfId="0" applyFont="1" applyBorder="1" applyAlignment="1"/>
    <xf numFmtId="0" fontId="2" fillId="0" borderId="8" xfId="0" applyFont="1" applyBorder="1"/>
    <xf numFmtId="165" fontId="1" fillId="0" borderId="11" xfId="0" applyNumberFormat="1" applyFont="1" applyBorder="1"/>
    <xf numFmtId="0" fontId="2" fillId="0" borderId="9" xfId="0" applyFont="1" applyBorder="1" applyAlignment="1">
      <alignment horizontal="left" wrapText="1"/>
    </xf>
    <xf numFmtId="165" fontId="1" fillId="0" borderId="2" xfId="0" applyNumberFormat="1" applyFont="1" applyBorder="1"/>
    <xf numFmtId="0" fontId="17" fillId="0" borderId="1" xfId="0" applyFont="1" applyBorder="1" applyAlignment="1"/>
    <xf numFmtId="0" fontId="35" fillId="0" borderId="1" xfId="0" applyFont="1" applyBorder="1" applyAlignment="1"/>
    <xf numFmtId="0" fontId="11" fillId="0" borderId="1" xfId="0" applyFont="1" applyBorder="1"/>
    <xf numFmtId="165" fontId="32" fillId="0" borderId="2" xfId="0" applyNumberFormat="1" applyFont="1" applyBorder="1"/>
    <xf numFmtId="165" fontId="1" fillId="0" borderId="16" xfId="0" applyNumberFormat="1" applyFont="1" applyBorder="1"/>
    <xf numFmtId="0" fontId="2" fillId="0" borderId="9" xfId="0" applyFont="1" applyBorder="1" applyAlignment="1">
      <alignment horizontal="left"/>
    </xf>
    <xf numFmtId="0" fontId="11" fillId="0" borderId="9" xfId="0" applyFont="1" applyBorder="1" applyAlignment="1"/>
    <xf numFmtId="0" fontId="11" fillId="0" borderId="9" xfId="0" applyFont="1" applyBorder="1"/>
    <xf numFmtId="0" fontId="2" fillId="0" borderId="8" xfId="0" applyFont="1" applyBorder="1" applyAlignment="1">
      <alignment horizontal="left"/>
    </xf>
    <xf numFmtId="0" fontId="11" fillId="0" borderId="8" xfId="0" applyFont="1" applyBorder="1" applyAlignment="1"/>
    <xf numFmtId="0" fontId="2" fillId="0" borderId="24" xfId="0" applyFont="1" applyBorder="1" applyAlignment="1"/>
    <xf numFmtId="0" fontId="11" fillId="0" borderId="24" xfId="0" applyFont="1" applyBorder="1"/>
    <xf numFmtId="0" fontId="11" fillId="0" borderId="6" xfId="0" applyFont="1" applyBorder="1"/>
    <xf numFmtId="0" fontId="2" fillId="0" borderId="6" xfId="0" applyFont="1" applyBorder="1"/>
    <xf numFmtId="165" fontId="33" fillId="0" borderId="8" xfId="0" applyNumberFormat="1" applyFont="1" applyBorder="1"/>
    <xf numFmtId="0" fontId="2" fillId="0" borderId="24" xfId="0" applyFont="1" applyBorder="1" applyAlignment="1">
      <alignment horizontal="left" wrapText="1"/>
    </xf>
    <xf numFmtId="0" fontId="2" fillId="0" borderId="24" xfId="0" applyFont="1" applyBorder="1"/>
    <xf numFmtId="0" fontId="2" fillId="0" borderId="25" xfId="0" applyFont="1" applyBorder="1"/>
    <xf numFmtId="165" fontId="1" fillId="0" borderId="26" xfId="0" applyNumberFormat="1" applyFont="1" applyBorder="1"/>
    <xf numFmtId="0" fontId="34" fillId="0" borderId="5" xfId="0" applyFont="1" applyBorder="1"/>
    <xf numFmtId="165" fontId="33" fillId="0" borderId="24" xfId="0" applyNumberFormat="1" applyFont="1" applyBorder="1"/>
    <xf numFmtId="0" fontId="2" fillId="0" borderId="0" xfId="0" applyFont="1" applyAlignment="1">
      <alignment horizontal="left" wrapText="1"/>
    </xf>
    <xf numFmtId="0" fontId="1" fillId="0" borderId="24" xfId="0" applyFont="1" applyBorder="1" applyAlignment="1"/>
    <xf numFmtId="165" fontId="1" fillId="0" borderId="24" xfId="0" applyNumberFormat="1" applyFont="1" applyBorder="1"/>
    <xf numFmtId="0" fontId="11" fillId="0" borderId="0" xfId="0" applyFont="1" applyAlignment="1"/>
    <xf numFmtId="0" fontId="34" fillId="0" borderId="0" xfId="0" applyFont="1" applyAlignment="1"/>
    <xf numFmtId="0" fontId="34" fillId="0" borderId="0" xfId="0" applyFont="1"/>
    <xf numFmtId="0" fontId="33" fillId="0" borderId="0" xfId="0" applyFont="1" applyAlignment="1"/>
    <xf numFmtId="165" fontId="33" fillId="0" borderId="0" xfId="0" applyNumberFormat="1" applyFont="1"/>
    <xf numFmtId="0" fontId="2" fillId="0" borderId="24" xfId="0" applyFont="1" applyBorder="1" applyAlignment="1">
      <alignment wrapText="1"/>
    </xf>
    <xf numFmtId="0" fontId="2" fillId="0" borderId="11" xfId="0" applyFont="1" applyBorder="1" applyAlignment="1"/>
    <xf numFmtId="0" fontId="1" fillId="0" borderId="0" xfId="0" applyFont="1"/>
    <xf numFmtId="0" fontId="1" fillId="0" borderId="24" xfId="0" applyFont="1" applyBorder="1" applyAlignment="1">
      <alignment wrapText="1"/>
    </xf>
    <xf numFmtId="165" fontId="1" fillId="0" borderId="24" xfId="0" applyNumberFormat="1" applyFont="1" applyBorder="1" applyAlignment="1">
      <alignment wrapText="1"/>
    </xf>
    <xf numFmtId="0" fontId="33" fillId="0" borderId="28" xfId="0" applyFont="1" applyBorder="1" applyAlignment="1">
      <alignment wrapText="1"/>
    </xf>
    <xf numFmtId="0" fontId="33" fillId="0" borderId="24" xfId="0" applyFont="1" applyBorder="1" applyAlignment="1">
      <alignment wrapText="1"/>
    </xf>
    <xf numFmtId="165" fontId="33" fillId="0" borderId="24" xfId="0" applyNumberFormat="1" applyFont="1" applyBorder="1" applyAlignment="1">
      <alignment wrapText="1"/>
    </xf>
    <xf numFmtId="0" fontId="34" fillId="0" borderId="28" xfId="0" applyFont="1" applyBorder="1" applyAlignment="1"/>
    <xf numFmtId="0" fontId="34" fillId="0" borderId="24" xfId="0" applyFont="1" applyBorder="1" applyAlignment="1"/>
    <xf numFmtId="0" fontId="34" fillId="0" borderId="24" xfId="0" applyFont="1" applyBorder="1"/>
    <xf numFmtId="0" fontId="17" fillId="0" borderId="24" xfId="0" applyFont="1" applyBorder="1" applyAlignment="1"/>
    <xf numFmtId="165" fontId="36" fillId="0" borderId="24" xfId="0" applyNumberFormat="1" applyFont="1" applyBorder="1"/>
    <xf numFmtId="165" fontId="32" fillId="0" borderId="24" xfId="0" applyNumberFormat="1" applyFont="1" applyBorder="1"/>
    <xf numFmtId="0" fontId="2" fillId="0" borderId="24" xfId="0" applyFont="1" applyBorder="1" applyAlignment="1">
      <alignment horizontal="left"/>
    </xf>
    <xf numFmtId="0" fontId="3" fillId="0" borderId="24" xfId="0" applyFont="1" applyBorder="1" applyAlignment="1">
      <alignment horizontal="right"/>
    </xf>
    <xf numFmtId="0" fontId="3" fillId="0" borderId="24" xfId="0" applyFont="1" applyBorder="1" applyAlignment="1">
      <alignment wrapText="1"/>
    </xf>
    <xf numFmtId="0" fontId="3" fillId="0" borderId="24" xfId="0" applyFont="1" applyBorder="1" applyAlignment="1">
      <alignment horizontal="right"/>
    </xf>
    <xf numFmtId="0" fontId="3" fillId="0" borderId="24" xfId="0" applyFont="1" applyBorder="1" applyAlignment="1"/>
    <xf numFmtId="0" fontId="3" fillId="0" borderId="24" xfId="0" applyFont="1" applyBorder="1" applyAlignment="1"/>
    <xf numFmtId="0" fontId="7" fillId="0" borderId="28" xfId="0" applyFont="1" applyBorder="1" applyAlignment="1">
      <alignment horizontal="right"/>
    </xf>
    <xf numFmtId="0" fontId="7" fillId="0" borderId="24" xfId="0" applyFont="1" applyBorder="1" applyAlignment="1"/>
    <xf numFmtId="0" fontId="7" fillId="0" borderId="24" xfId="0" applyFont="1" applyBorder="1" applyAlignment="1">
      <alignment horizontal="right"/>
    </xf>
    <xf numFmtId="0" fontId="33" fillId="0" borderId="24" xfId="0" applyFont="1" applyBorder="1" applyAlignment="1"/>
    <xf numFmtId="0" fontId="4" fillId="0" borderId="9" xfId="0" applyFont="1" applyBorder="1" applyAlignment="1">
      <alignment horizontal="center"/>
    </xf>
    <xf numFmtId="0" fontId="4" fillId="0" borderId="9" xfId="0" applyFont="1" applyBorder="1" applyAlignment="1">
      <alignment wrapText="1"/>
    </xf>
    <xf numFmtId="165" fontId="4" fillId="0" borderId="9" xfId="0" applyNumberFormat="1" applyFont="1" applyBorder="1" applyAlignment="1">
      <alignment wrapText="1"/>
    </xf>
    <xf numFmtId="0" fontId="6" fillId="0" borderId="9" xfId="0" applyFont="1" applyBorder="1" applyAlignment="1">
      <alignment wrapText="1"/>
    </xf>
    <xf numFmtId="165" fontId="6" fillId="0" borderId="9" xfId="0" applyNumberFormat="1" applyFont="1" applyBorder="1" applyAlignment="1">
      <alignment wrapText="1"/>
    </xf>
    <xf numFmtId="0" fontId="7" fillId="0" borderId="9" xfId="0" applyFont="1" applyBorder="1" applyAlignment="1"/>
    <xf numFmtId="164" fontId="3" fillId="0" borderId="9" xfId="0" applyNumberFormat="1" applyFont="1" applyBorder="1" applyAlignment="1">
      <alignment horizontal="right"/>
    </xf>
    <xf numFmtId="0" fontId="25" fillId="0" borderId="9" xfId="0" applyFont="1" applyBorder="1" applyAlignment="1"/>
    <xf numFmtId="0" fontId="7" fillId="0" borderId="9" xfId="0" applyFont="1" applyBorder="1" applyAlignment="1"/>
    <xf numFmtId="0" fontId="25" fillId="0" borderId="9" xfId="0" applyFont="1" applyBorder="1" applyAlignment="1"/>
    <xf numFmtId="164" fontId="26" fillId="0" borderId="9" xfId="0" applyNumberFormat="1" applyFont="1" applyBorder="1" applyAlignment="1">
      <alignment horizontal="right"/>
    </xf>
    <xf numFmtId="0" fontId="37" fillId="0" borderId="9" xfId="0" applyFont="1" applyBorder="1" applyAlignment="1"/>
    <xf numFmtId="0" fontId="38" fillId="0" borderId="9" xfId="0" applyFont="1" applyBorder="1" applyAlignment="1">
      <alignment horizontal="right"/>
    </xf>
    <xf numFmtId="165" fontId="27" fillId="0" borderId="9" xfId="0" applyNumberFormat="1" applyFont="1" applyBorder="1" applyAlignment="1">
      <alignment horizontal="right"/>
    </xf>
    <xf numFmtId="165" fontId="39" fillId="0" borderId="9" xfId="0" applyNumberFormat="1" applyFont="1" applyBorder="1" applyAlignment="1">
      <alignment horizontal="right"/>
    </xf>
    <xf numFmtId="0" fontId="26" fillId="0" borderId="9" xfId="0" applyFont="1" applyBorder="1" applyAlignment="1">
      <alignment horizontal="right"/>
    </xf>
    <xf numFmtId="0" fontId="26" fillId="0" borderId="9" xfId="0" applyFont="1" applyBorder="1" applyAlignment="1"/>
    <xf numFmtId="0" fontId="3" fillId="0" borderId="9" xfId="0" applyFont="1" applyBorder="1" applyAlignment="1">
      <alignment wrapText="1"/>
    </xf>
    <xf numFmtId="0" fontId="7" fillId="0" borderId="8" xfId="0" applyFont="1" applyBorder="1" applyAlignment="1">
      <alignment horizontal="right"/>
    </xf>
    <xf numFmtId="0" fontId="7" fillId="0" borderId="8" xfId="0" applyFont="1" applyBorder="1" applyAlignment="1">
      <alignment horizontal="right"/>
    </xf>
    <xf numFmtId="0" fontId="7" fillId="0" borderId="8" xfId="0" applyFont="1" applyBorder="1" applyAlignment="1"/>
    <xf numFmtId="0" fontId="4" fillId="0" borderId="6" xfId="0" applyFont="1" applyBorder="1" applyAlignment="1"/>
    <xf numFmtId="0" fontId="6" fillId="0" borderId="9" xfId="0" applyFont="1" applyBorder="1" applyAlignment="1"/>
    <xf numFmtId="0" fontId="6" fillId="0" borderId="9" xfId="0" applyFont="1" applyBorder="1" applyAlignment="1">
      <alignment wrapText="1"/>
    </xf>
    <xf numFmtId="165" fontId="6" fillId="0" borderId="9" xfId="0" applyNumberFormat="1" applyFont="1" applyBorder="1" applyAlignment="1"/>
    <xf numFmtId="0" fontId="40" fillId="0" borderId="9" xfId="0" applyFont="1" applyBorder="1" applyAlignment="1">
      <alignment wrapText="1"/>
    </xf>
    <xf numFmtId="0" fontId="40" fillId="0" borderId="9" xfId="0" applyFont="1" applyBorder="1" applyAlignment="1"/>
    <xf numFmtId="164" fontId="3" fillId="0" borderId="9" xfId="0" applyNumberFormat="1" applyFont="1" applyBorder="1" applyAlignment="1"/>
    <xf numFmtId="167" fontId="3" fillId="0" borderId="0" xfId="0" applyNumberFormat="1" applyFont="1" applyAlignment="1"/>
    <xf numFmtId="0" fontId="3" fillId="2" borderId="1" xfId="0" applyFont="1" applyFill="1" applyBorder="1" applyAlignment="1">
      <alignment wrapText="1"/>
    </xf>
    <xf numFmtId="0" fontId="3" fillId="3" borderId="1" xfId="0" applyFont="1" applyFill="1" applyBorder="1" applyAlignment="1">
      <alignment wrapText="1"/>
    </xf>
    <xf numFmtId="0" fontId="3" fillId="4" borderId="1" xfId="0" applyFont="1" applyFill="1" applyBorder="1" applyAlignment="1">
      <alignment wrapText="1"/>
    </xf>
    <xf numFmtId="0" fontId="3" fillId="5" borderId="1" xfId="0" applyFont="1" applyFill="1" applyBorder="1" applyAlignment="1">
      <alignment wrapText="1"/>
    </xf>
    <xf numFmtId="49" fontId="3" fillId="0" borderId="9" xfId="0" applyNumberFormat="1" applyFont="1" applyBorder="1" applyAlignment="1">
      <alignment horizontal="right"/>
    </xf>
    <xf numFmtId="49" fontId="25" fillId="0" borderId="9" xfId="0" applyNumberFormat="1" applyFont="1" applyBorder="1" applyAlignment="1">
      <alignment horizontal="right"/>
    </xf>
    <xf numFmtId="0" fontId="25" fillId="0" borderId="9" xfId="0" applyFont="1" applyBorder="1" applyAlignment="1">
      <alignment wrapText="1"/>
    </xf>
    <xf numFmtId="0" fontId="7" fillId="0" borderId="0" xfId="0" applyFont="1" applyAlignment="1"/>
    <xf numFmtId="0" fontId="37" fillId="0" borderId="9" xfId="0" applyFont="1" applyBorder="1" applyAlignment="1">
      <alignment wrapText="1"/>
    </xf>
    <xf numFmtId="49" fontId="41" fillId="0" borderId="9" xfId="0" applyNumberFormat="1" applyFont="1" applyBorder="1" applyAlignment="1">
      <alignment horizontal="right"/>
    </xf>
    <xf numFmtId="0" fontId="41" fillId="0" borderId="9" xfId="0" applyFont="1" applyBorder="1" applyAlignment="1">
      <alignment wrapText="1"/>
    </xf>
    <xf numFmtId="0" fontId="41" fillId="0" borderId="9" xfId="0" applyFont="1" applyBorder="1" applyAlignment="1"/>
    <xf numFmtId="0" fontId="41" fillId="0" borderId="9" xfId="0" applyFont="1" applyBorder="1" applyAlignment="1">
      <alignment wrapText="1"/>
    </xf>
    <xf numFmtId="49" fontId="3" fillId="0" borderId="9" xfId="0" applyNumberFormat="1" applyFont="1" applyBorder="1" applyAlignment="1"/>
    <xf numFmtId="0" fontId="3" fillId="0" borderId="8" xfId="0" applyFont="1" applyBorder="1" applyAlignment="1"/>
    <xf numFmtId="0" fontId="3" fillId="0" borderId="8" xfId="0" applyFont="1" applyBorder="1" applyAlignment="1"/>
    <xf numFmtId="0" fontId="3" fillId="0" borderId="5" xfId="0" applyFont="1" applyBorder="1" applyAlignment="1">
      <alignment wrapText="1"/>
    </xf>
    <xf numFmtId="165" fontId="4" fillId="0" borderId="6" xfId="0" applyNumberFormat="1" applyFont="1" applyBorder="1" applyAlignment="1">
      <alignment horizontal="right"/>
    </xf>
    <xf numFmtId="0" fontId="3" fillId="0" borderId="0" xfId="0" applyFont="1" applyAlignment="1">
      <alignment wrapText="1"/>
    </xf>
    <xf numFmtId="0" fontId="3" fillId="0" borderId="8" xfId="0" applyFont="1" applyBorder="1" applyAlignment="1">
      <alignment horizontal="right"/>
    </xf>
    <xf numFmtId="0" fontId="42" fillId="0" borderId="9" xfId="0" applyFont="1" applyBorder="1" applyAlignment="1">
      <alignment wrapText="1"/>
    </xf>
    <xf numFmtId="0" fontId="43" fillId="0" borderId="9" xfId="0" applyFont="1" applyBorder="1" applyAlignment="1">
      <alignment wrapText="1"/>
    </xf>
    <xf numFmtId="0" fontId="3" fillId="0" borderId="9" xfId="0" applyFont="1" applyBorder="1" applyAlignment="1">
      <alignment wrapText="1"/>
    </xf>
    <xf numFmtId="0" fontId="3" fillId="0" borderId="0" xfId="0" applyFont="1" applyAlignment="1">
      <alignment wrapText="1"/>
    </xf>
    <xf numFmtId="0" fontId="3" fillId="0" borderId="5" xfId="0" applyFont="1" applyBorder="1" applyAlignment="1">
      <alignment horizontal="right"/>
    </xf>
    <xf numFmtId="0" fontId="3" fillId="0" borderId="6" xfId="0" applyFont="1" applyBorder="1" applyAlignment="1">
      <alignment wrapText="1"/>
    </xf>
    <xf numFmtId="0" fontId="3" fillId="0" borderId="6" xfId="0" applyFont="1" applyBorder="1" applyAlignment="1"/>
    <xf numFmtId="0" fontId="3" fillId="0" borderId="6" xfId="0" applyFont="1" applyBorder="1" applyAlignment="1">
      <alignment horizontal="right"/>
    </xf>
    <xf numFmtId="0" fontId="3" fillId="0" borderId="6" xfId="0" applyFont="1" applyBorder="1" applyAlignment="1">
      <alignment wrapText="1"/>
    </xf>
    <xf numFmtId="4" fontId="3" fillId="2" borderId="1" xfId="0" applyNumberFormat="1" applyFont="1" applyFill="1" applyBorder="1" applyAlignment="1">
      <alignment horizontal="right"/>
    </xf>
    <xf numFmtId="4" fontId="3" fillId="3" borderId="1" xfId="0" applyNumberFormat="1" applyFont="1" applyFill="1" applyBorder="1" applyAlignment="1">
      <alignment horizontal="right"/>
    </xf>
    <xf numFmtId="0" fontId="3" fillId="4" borderId="30" xfId="0" applyFont="1" applyFill="1" applyBorder="1" applyAlignment="1">
      <alignment horizontal="right"/>
    </xf>
    <xf numFmtId="4" fontId="3" fillId="4" borderId="1" xfId="0" applyNumberFormat="1" applyFont="1" applyFill="1" applyBorder="1" applyAlignment="1">
      <alignment horizontal="right"/>
    </xf>
    <xf numFmtId="4" fontId="3" fillId="5" borderId="1" xfId="0" applyNumberFormat="1" applyFont="1" applyFill="1" applyBorder="1" applyAlignment="1">
      <alignment horizontal="right"/>
    </xf>
    <xf numFmtId="4" fontId="4" fillId="2" borderId="1" xfId="0" applyNumberFormat="1" applyFont="1" applyFill="1" applyBorder="1" applyAlignment="1">
      <alignment horizontal="right"/>
    </xf>
    <xf numFmtId="49" fontId="4" fillId="0" borderId="9" xfId="0" applyNumberFormat="1" applyFont="1" applyBorder="1" applyAlignment="1">
      <alignment wrapText="1"/>
    </xf>
    <xf numFmtId="3" fontId="6" fillId="0" borderId="9" xfId="0" applyNumberFormat="1" applyFont="1" applyBorder="1" applyAlignment="1">
      <alignment wrapText="1"/>
    </xf>
    <xf numFmtId="49" fontId="3" fillId="0" borderId="1" xfId="0" applyNumberFormat="1" applyFont="1" applyBorder="1" applyAlignment="1">
      <alignment vertical="top"/>
    </xf>
    <xf numFmtId="168" fontId="3" fillId="0" borderId="1" xfId="0" applyNumberFormat="1" applyFont="1" applyBorder="1" applyAlignment="1"/>
    <xf numFmtId="165" fontId="4" fillId="0" borderId="1" xfId="0" applyNumberFormat="1" applyFont="1" applyBorder="1" applyAlignment="1">
      <alignment horizontal="right"/>
    </xf>
    <xf numFmtId="3" fontId="7" fillId="0" borderId="9" xfId="0" applyNumberFormat="1" applyFont="1" applyBorder="1" applyAlignment="1">
      <alignment horizontal="right" vertical="top"/>
    </xf>
    <xf numFmtId="3" fontId="3" fillId="0" borderId="9" xfId="0" applyNumberFormat="1" applyFont="1" applyBorder="1" applyAlignment="1">
      <alignment vertical="top"/>
    </xf>
    <xf numFmtId="49" fontId="3" fillId="0" borderId="1" xfId="0" applyNumberFormat="1" applyFont="1" applyBorder="1" applyAlignment="1">
      <alignment horizontal="right" vertical="top"/>
    </xf>
    <xf numFmtId="168" fontId="3" fillId="0" borderId="1" xfId="0" applyNumberFormat="1" applyFont="1" applyBorder="1" applyAlignment="1">
      <alignment horizontal="right"/>
    </xf>
    <xf numFmtId="0" fontId="3" fillId="0" borderId="1" xfId="0" applyFont="1" applyBorder="1" applyAlignment="1">
      <alignment wrapText="1"/>
    </xf>
    <xf numFmtId="0" fontId="3" fillId="0" borderId="1" xfId="0" applyFont="1" applyBorder="1" applyAlignment="1">
      <alignment vertical="top"/>
    </xf>
    <xf numFmtId="168" fontId="3" fillId="0" borderId="1" xfId="0" applyNumberFormat="1" applyFont="1" applyBorder="1" applyAlignment="1">
      <alignment vertical="top"/>
    </xf>
    <xf numFmtId="168" fontId="3" fillId="0" borderId="1" xfId="0" applyNumberFormat="1" applyFont="1" applyBorder="1" applyAlignment="1">
      <alignment horizontal="right" vertical="top"/>
    </xf>
    <xf numFmtId="0" fontId="3" fillId="6" borderId="1" xfId="0" applyFont="1" applyFill="1" applyBorder="1" applyAlignment="1"/>
    <xf numFmtId="168" fontId="3" fillId="6" borderId="1" xfId="0" applyNumberFormat="1" applyFont="1" applyFill="1" applyBorder="1" applyAlignment="1"/>
    <xf numFmtId="49" fontId="44" fillId="0" borderId="1" xfId="0" applyNumberFormat="1" applyFont="1" applyBorder="1" applyAlignment="1">
      <alignment horizontal="right" vertical="top"/>
    </xf>
    <xf numFmtId="0" fontId="45" fillId="0" borderId="1" xfId="0" applyFont="1" applyBorder="1" applyAlignment="1"/>
    <xf numFmtId="0" fontId="44" fillId="0" borderId="1" xfId="0" applyFont="1" applyBorder="1" applyAlignment="1"/>
    <xf numFmtId="168" fontId="44" fillId="0" borderId="1" xfId="0" applyNumberFormat="1" applyFont="1" applyBorder="1" applyAlignment="1"/>
    <xf numFmtId="165" fontId="45" fillId="0" borderId="1" xfId="0" applyNumberFormat="1" applyFont="1" applyBorder="1" applyAlignment="1">
      <alignment horizontal="right"/>
    </xf>
    <xf numFmtId="0" fontId="44" fillId="0" borderId="9" xfId="0" applyFont="1" applyBorder="1" applyAlignment="1"/>
    <xf numFmtId="0" fontId="46" fillId="0" borderId="1" xfId="0" applyFont="1" applyBorder="1" applyAlignment="1"/>
    <xf numFmtId="0" fontId="47" fillId="0" borderId="1" xfId="0" applyFont="1" applyBorder="1" applyAlignment="1"/>
    <xf numFmtId="0" fontId="48" fillId="0" borderId="1" xfId="0" applyFont="1" applyBorder="1" applyAlignment="1"/>
    <xf numFmtId="1" fontId="3" fillId="0" borderId="1" xfId="0" applyNumberFormat="1" applyFont="1" applyBorder="1" applyAlignment="1">
      <alignment horizontal="right"/>
    </xf>
    <xf numFmtId="0" fontId="49" fillId="0" borderId="1" xfId="0" applyFont="1" applyBorder="1" applyAlignment="1"/>
    <xf numFmtId="1" fontId="3" fillId="0" borderId="1" xfId="0" applyNumberFormat="1" applyFont="1" applyBorder="1" applyAlignment="1"/>
    <xf numFmtId="0" fontId="4" fillId="0" borderId="1" xfId="0" applyFont="1" applyBorder="1" applyAlignment="1"/>
    <xf numFmtId="0" fontId="3" fillId="0" borderId="9" xfId="0" applyFont="1" applyBorder="1" applyAlignment="1">
      <alignment horizontal="right" vertical="top"/>
    </xf>
    <xf numFmtId="3" fontId="6" fillId="0" borderId="9" xfId="0" applyNumberFormat="1" applyFont="1" applyBorder="1" applyAlignment="1"/>
    <xf numFmtId="0" fontId="3" fillId="0" borderId="13" xfId="0" applyFont="1" applyBorder="1" applyAlignment="1"/>
    <xf numFmtId="0" fontId="3" fillId="0" borderId="8" xfId="0" applyFont="1" applyBorder="1" applyAlignment="1">
      <alignment horizontal="right"/>
    </xf>
    <xf numFmtId="0" fontId="3" fillId="0" borderId="31" xfId="0" applyFont="1" applyBorder="1" applyAlignment="1">
      <alignment horizontal="right"/>
    </xf>
    <xf numFmtId="0" fontId="3" fillId="0" borderId="31" xfId="0" applyFont="1" applyBorder="1" applyAlignment="1"/>
    <xf numFmtId="0" fontId="3" fillId="0" borderId="32" xfId="0" applyFont="1" applyBorder="1" applyAlignment="1"/>
    <xf numFmtId="165" fontId="4" fillId="0" borderId="8" xfId="0" applyNumberFormat="1" applyFont="1" applyBorder="1" applyAlignment="1">
      <alignment horizontal="right"/>
    </xf>
    <xf numFmtId="0" fontId="4" fillId="0" borderId="31" xfId="0" applyFont="1" applyBorder="1" applyAlignment="1"/>
    <xf numFmtId="165" fontId="4" fillId="0" borderId="31" xfId="0" applyNumberFormat="1" applyFont="1" applyBorder="1" applyAlignment="1">
      <alignment horizontal="right"/>
    </xf>
    <xf numFmtId="0" fontId="3" fillId="0" borderId="9" xfId="0" applyFont="1" applyBorder="1" applyAlignment="1">
      <alignment vertical="top"/>
    </xf>
    <xf numFmtId="0" fontId="3" fillId="0" borderId="6" xfId="0" applyFont="1" applyBorder="1" applyAlignment="1">
      <alignment horizontal="right" vertical="top"/>
    </xf>
    <xf numFmtId="165" fontId="4" fillId="0" borderId="9" xfId="0" applyNumberFormat="1" applyFont="1" applyBorder="1" applyAlignment="1">
      <alignment horizontal="right" vertical="top"/>
    </xf>
    <xf numFmtId="0" fontId="4" fillId="0" borderId="1" xfId="0" applyFont="1" applyBorder="1" applyAlignment="1">
      <alignment wrapText="1"/>
    </xf>
    <xf numFmtId="0" fontId="3" fillId="2" borderId="1" xfId="0" applyFont="1" applyFill="1" applyBorder="1" applyAlignment="1">
      <alignment wrapText="1"/>
    </xf>
    <xf numFmtId="0" fontId="3" fillId="3" borderId="1" xfId="0" applyFont="1" applyFill="1" applyBorder="1" applyAlignment="1">
      <alignment wrapText="1"/>
    </xf>
    <xf numFmtId="0" fontId="3" fillId="4" borderId="1" xfId="0" applyFont="1" applyFill="1" applyBorder="1" applyAlignment="1">
      <alignment wrapText="1"/>
    </xf>
    <xf numFmtId="0" fontId="3" fillId="5" borderId="1" xfId="0" applyFont="1" applyFill="1" applyBorder="1" applyAlignment="1">
      <alignment wrapText="1"/>
    </xf>
    <xf numFmtId="0" fontId="4" fillId="0" borderId="0" xfId="0" applyFont="1" applyAlignment="1"/>
    <xf numFmtId="164" fontId="3" fillId="0" borderId="9" xfId="0" applyNumberFormat="1" applyFont="1" applyBorder="1" applyAlignment="1">
      <alignment horizontal="right" vertical="top"/>
    </xf>
    <xf numFmtId="0" fontId="3" fillId="0" borderId="9" xfId="0" applyFont="1" applyBorder="1" applyAlignment="1">
      <alignment vertical="top" wrapText="1"/>
    </xf>
    <xf numFmtId="165" fontId="3" fillId="0" borderId="9" xfId="0" applyNumberFormat="1" applyFont="1" applyBorder="1" applyAlignment="1">
      <alignment vertical="top"/>
    </xf>
    <xf numFmtId="0" fontId="4" fillId="0" borderId="6" xfId="0" applyFont="1" applyBorder="1" applyAlignment="1">
      <alignment horizontal="center" vertical="top"/>
    </xf>
    <xf numFmtId="0" fontId="7" fillId="0" borderId="9" xfId="0" applyFont="1" applyBorder="1" applyAlignment="1">
      <alignment vertical="top"/>
    </xf>
    <xf numFmtId="165" fontId="6" fillId="0" borderId="9" xfId="0" applyNumberFormat="1" applyFont="1" applyBorder="1" applyAlignment="1">
      <alignment horizontal="right" vertical="top"/>
    </xf>
    <xf numFmtId="3" fontId="3" fillId="0" borderId="9" xfId="0" applyNumberFormat="1" applyFont="1" applyBorder="1" applyAlignment="1">
      <alignment horizontal="right" vertical="top"/>
    </xf>
    <xf numFmtId="165" fontId="3" fillId="0" borderId="9" xfId="0" applyNumberFormat="1" applyFont="1" applyBorder="1" applyAlignment="1">
      <alignment horizontal="right" vertical="top"/>
    </xf>
    <xf numFmtId="0" fontId="7" fillId="0" borderId="9" xfId="0" applyFont="1" applyBorder="1" applyAlignment="1">
      <alignment horizontal="right" vertical="top"/>
    </xf>
    <xf numFmtId="165" fontId="7" fillId="0" borderId="9" xfId="0" applyNumberFormat="1" applyFont="1" applyBorder="1" applyAlignment="1">
      <alignment vertical="top"/>
    </xf>
    <xf numFmtId="0" fontId="3" fillId="0" borderId="9" xfId="0" applyFont="1" applyBorder="1" applyAlignment="1">
      <alignment horizontal="right" vertical="top"/>
    </xf>
    <xf numFmtId="0" fontId="3" fillId="0" borderId="9" xfId="0" applyFont="1" applyBorder="1" applyAlignment="1">
      <alignment vertical="top" wrapText="1"/>
    </xf>
    <xf numFmtId="0" fontId="50" fillId="0" borderId="9" xfId="0" applyFont="1" applyBorder="1" applyAlignment="1">
      <alignment vertical="top" wrapText="1"/>
    </xf>
    <xf numFmtId="3" fontId="4" fillId="0" borderId="8" xfId="0" applyNumberFormat="1" applyFont="1" applyBorder="1" applyAlignment="1">
      <alignment horizontal="center" vertical="top"/>
    </xf>
    <xf numFmtId="0" fontId="3" fillId="0" borderId="0" xfId="0" applyFont="1" applyAlignment="1">
      <alignment vertical="top" wrapText="1"/>
    </xf>
    <xf numFmtId="0" fontId="51" fillId="0" borderId="9" xfId="0" applyFont="1" applyBorder="1" applyAlignment="1">
      <alignment vertical="top" wrapText="1"/>
    </xf>
    <xf numFmtId="0" fontId="3" fillId="0" borderId="9" xfId="0" applyFont="1" applyBorder="1" applyAlignment="1">
      <alignment vertical="top" wrapText="1"/>
    </xf>
    <xf numFmtId="168" fontId="4" fillId="0" borderId="6" xfId="0" applyNumberFormat="1" applyFont="1" applyBorder="1" applyAlignment="1">
      <alignment horizontal="center" vertical="top"/>
    </xf>
    <xf numFmtId="3" fontId="7" fillId="0" borderId="9" xfId="0" applyNumberFormat="1" applyFont="1" applyBorder="1" applyAlignment="1">
      <alignment vertical="top"/>
    </xf>
    <xf numFmtId="0" fontId="3" fillId="0" borderId="0" xfId="0" applyFont="1" applyAlignment="1">
      <alignment horizontal="right" vertical="top"/>
    </xf>
    <xf numFmtId="3" fontId="3" fillId="0" borderId="0" xfId="0" applyNumberFormat="1" applyFont="1" applyAlignment="1">
      <alignment vertical="top"/>
    </xf>
    <xf numFmtId="0" fontId="3" fillId="0" borderId="0" xfId="0" applyFont="1" applyAlignment="1">
      <alignment vertical="top"/>
    </xf>
    <xf numFmtId="0" fontId="6" fillId="0" borderId="9" xfId="0" applyFont="1" applyBorder="1" applyAlignment="1">
      <alignment vertical="top" wrapText="1"/>
    </xf>
    <xf numFmtId="0" fontId="3" fillId="0" borderId="5" xfId="0" applyFont="1" applyBorder="1" applyAlignment="1">
      <alignment vertical="top"/>
    </xf>
    <xf numFmtId="0" fontId="4" fillId="0" borderId="9" xfId="0" applyFont="1" applyBorder="1" applyAlignment="1">
      <alignment vertical="top"/>
    </xf>
    <xf numFmtId="165" fontId="3" fillId="0" borderId="0" xfId="0" applyNumberFormat="1" applyFont="1" applyAlignment="1">
      <alignment vertical="top"/>
    </xf>
    <xf numFmtId="168" fontId="3" fillId="0" borderId="9" xfId="0" applyNumberFormat="1" applyFont="1" applyBorder="1" applyAlignment="1">
      <alignment vertical="top" wrapText="1"/>
    </xf>
    <xf numFmtId="0" fontId="4" fillId="0" borderId="5" xfId="0" applyFont="1" applyBorder="1" applyAlignment="1">
      <alignment vertical="top" wrapText="1"/>
    </xf>
    <xf numFmtId="0" fontId="3" fillId="0" borderId="7" xfId="0" applyFont="1" applyBorder="1" applyAlignment="1">
      <alignment vertical="top"/>
    </xf>
    <xf numFmtId="3" fontId="3" fillId="0" borderId="7" xfId="0" applyNumberFormat="1" applyFont="1" applyBorder="1" applyAlignment="1">
      <alignment vertical="top"/>
    </xf>
    <xf numFmtId="0" fontId="3" fillId="0" borderId="6" xfId="0" applyFont="1" applyBorder="1" applyAlignment="1">
      <alignment vertical="top"/>
    </xf>
    <xf numFmtId="0" fontId="4" fillId="0" borderId="10" xfId="0" applyFont="1" applyBorder="1" applyAlignment="1">
      <alignment vertical="top"/>
    </xf>
    <xf numFmtId="0" fontId="51" fillId="0" borderId="0" xfId="0" applyFont="1" applyAlignment="1"/>
    <xf numFmtId="0" fontId="3" fillId="0" borderId="0" xfId="0" applyFont="1" applyAlignment="1">
      <alignment horizontal="right"/>
    </xf>
    <xf numFmtId="165" fontId="3" fillId="0" borderId="0" xfId="0" applyNumberFormat="1" applyFont="1" applyAlignment="1">
      <alignment horizontal="right"/>
    </xf>
    <xf numFmtId="0" fontId="3" fillId="5" borderId="1" xfId="0" applyFont="1" applyFill="1" applyBorder="1" applyAlignment="1">
      <alignment wrapText="1"/>
    </xf>
    <xf numFmtId="0" fontId="4" fillId="0" borderId="9" xfId="0" applyFont="1" applyBorder="1" applyAlignment="1">
      <alignment horizontal="center" wrapText="1"/>
    </xf>
    <xf numFmtId="0" fontId="3" fillId="0" borderId="9" xfId="0" applyFont="1" applyBorder="1" applyAlignment="1">
      <alignment horizontal="right" vertical="top"/>
    </xf>
    <xf numFmtId="0" fontId="4" fillId="0" borderId="9" xfId="0" applyFont="1" applyBorder="1" applyAlignment="1">
      <alignment horizontal="center" vertical="top"/>
    </xf>
    <xf numFmtId="11" fontId="3" fillId="0" borderId="9" xfId="0" applyNumberFormat="1" applyFont="1" applyBorder="1" applyAlignment="1">
      <alignment vertical="top"/>
    </xf>
    <xf numFmtId="0" fontId="3" fillId="0" borderId="9" xfId="0" applyFont="1" applyBorder="1" applyAlignment="1">
      <alignment wrapText="1"/>
    </xf>
    <xf numFmtId="165" fontId="4" fillId="0" borderId="1" xfId="0" applyNumberFormat="1" applyFont="1" applyBorder="1" applyAlignment="1">
      <alignment wrapText="1"/>
    </xf>
    <xf numFmtId="0" fontId="4" fillId="0" borderId="8" xfId="0" applyFont="1" applyBorder="1" applyAlignment="1">
      <alignment horizontal="center" wrapText="1"/>
    </xf>
    <xf numFmtId="3" fontId="4" fillId="0" borderId="8" xfId="0" applyNumberFormat="1" applyFont="1" applyBorder="1" applyAlignment="1">
      <alignment horizontal="center" wrapText="1"/>
    </xf>
    <xf numFmtId="165" fontId="4" fillId="0" borderId="8" xfId="0" applyNumberFormat="1" applyFont="1" applyBorder="1" applyAlignment="1">
      <alignment horizontal="center" wrapText="1"/>
    </xf>
    <xf numFmtId="3" fontId="6" fillId="0" borderId="8" xfId="0" applyNumberFormat="1" applyFont="1" applyBorder="1" applyAlignment="1">
      <alignment horizontal="center" wrapText="1"/>
    </xf>
    <xf numFmtId="165" fontId="6" fillId="0" borderId="8" xfId="0" applyNumberFormat="1" applyFont="1" applyBorder="1" applyAlignment="1">
      <alignment horizontal="center" wrapText="1"/>
    </xf>
    <xf numFmtId="0" fontId="4" fillId="0" borderId="9" xfId="0" applyFont="1" applyBorder="1" applyAlignment="1">
      <alignment horizontal="right" vertical="top"/>
    </xf>
    <xf numFmtId="4" fontId="3" fillId="0" borderId="9" xfId="0" applyNumberFormat="1" applyFont="1" applyBorder="1" applyAlignment="1">
      <alignment vertical="top"/>
    </xf>
    <xf numFmtId="0" fontId="4" fillId="0" borderId="9" xfId="0" applyFont="1" applyBorder="1" applyAlignment="1">
      <alignment horizontal="right" vertical="top"/>
    </xf>
    <xf numFmtId="0" fontId="52" fillId="0" borderId="9" xfId="0" applyFont="1" applyBorder="1" applyAlignment="1">
      <alignment horizontal="right" wrapText="1"/>
    </xf>
    <xf numFmtId="0" fontId="4" fillId="0" borderId="8" xfId="0" applyFont="1" applyBorder="1" applyAlignment="1">
      <alignment horizontal="center" vertical="top"/>
    </xf>
    <xf numFmtId="165" fontId="6" fillId="0" borderId="8" xfId="0" applyNumberFormat="1" applyFont="1" applyBorder="1" applyAlignment="1">
      <alignment horizontal="right" vertical="top"/>
    </xf>
    <xf numFmtId="0" fontId="52" fillId="0" borderId="9" xfId="0" applyFont="1" applyBorder="1" applyAlignment="1">
      <alignment horizontal="right"/>
    </xf>
    <xf numFmtId="0" fontId="4" fillId="0" borderId="10" xfId="0" applyFont="1" applyBorder="1" applyAlignment="1">
      <alignment horizontal="right" vertical="top"/>
    </xf>
    <xf numFmtId="165" fontId="3" fillId="0" borderId="10" xfId="0" applyNumberFormat="1" applyFont="1" applyBorder="1" applyAlignment="1">
      <alignment vertical="top"/>
    </xf>
    <xf numFmtId="0" fontId="4" fillId="0" borderId="10" xfId="0" applyFont="1" applyBorder="1" applyAlignment="1">
      <alignment horizontal="center" vertical="top"/>
    </xf>
    <xf numFmtId="165" fontId="3" fillId="0" borderId="8" xfId="0" applyNumberFormat="1" applyFont="1" applyBorder="1" applyAlignment="1">
      <alignment vertical="top"/>
    </xf>
    <xf numFmtId="4" fontId="4" fillId="0" borderId="9" xfId="0" applyNumberFormat="1" applyFont="1" applyBorder="1" applyAlignment="1">
      <alignment vertical="top"/>
    </xf>
    <xf numFmtId="165" fontId="53" fillId="0" borderId="18" xfId="0" applyNumberFormat="1" applyFont="1" applyBorder="1" applyAlignment="1">
      <alignment horizontal="right" vertical="top"/>
    </xf>
    <xf numFmtId="4" fontId="4" fillId="0" borderId="9" xfId="0" applyNumberFormat="1" applyFont="1" applyBorder="1" applyAlignment="1">
      <alignment horizontal="right" vertical="top"/>
    </xf>
    <xf numFmtId="0" fontId="3" fillId="4" borderId="1" xfId="0" applyFont="1" applyFill="1" applyBorder="1" applyAlignment="1"/>
    <xf numFmtId="0" fontId="4" fillId="0" borderId="9" xfId="0" applyFont="1" applyBorder="1" applyAlignment="1">
      <alignment horizontal="right"/>
    </xf>
    <xf numFmtId="4" fontId="3" fillId="0" borderId="9" xfId="0" applyNumberFormat="1" applyFont="1" applyBorder="1" applyAlignment="1"/>
    <xf numFmtId="0" fontId="3" fillId="0" borderId="8" xfId="0" applyFont="1" applyBorder="1" applyAlignment="1">
      <alignment vertical="top"/>
    </xf>
    <xf numFmtId="4" fontId="3" fillId="0" borderId="9" xfId="0" applyNumberFormat="1" applyFont="1" applyBorder="1" applyAlignment="1">
      <alignment wrapText="1"/>
    </xf>
    <xf numFmtId="0" fontId="4" fillId="0" borderId="9" xfId="0" applyFont="1" applyBorder="1" applyAlignment="1">
      <alignment horizontal="right" wrapText="1"/>
    </xf>
    <xf numFmtId="165" fontId="3" fillId="0" borderId="12" xfId="0" applyNumberFormat="1" applyFont="1" applyBorder="1" applyAlignment="1">
      <alignment horizontal="right" vertical="top"/>
    </xf>
    <xf numFmtId="0" fontId="4" fillId="0" borderId="10" xfId="0" applyFont="1" applyBorder="1" applyAlignment="1">
      <alignment horizontal="right" vertical="top"/>
    </xf>
    <xf numFmtId="165" fontId="3" fillId="0" borderId="10" xfId="0" applyNumberFormat="1" applyFont="1" applyBorder="1" applyAlignment="1">
      <alignment horizontal="right" vertical="top"/>
    </xf>
    <xf numFmtId="4" fontId="4" fillId="0" borderId="10" xfId="0" applyNumberFormat="1" applyFont="1" applyBorder="1" applyAlignment="1">
      <alignment vertical="top"/>
    </xf>
    <xf numFmtId="4" fontId="4" fillId="0" borderId="10" xfId="0" applyNumberFormat="1" applyFont="1" applyBorder="1" applyAlignment="1">
      <alignment horizontal="right" vertical="top"/>
    </xf>
    <xf numFmtId="0" fontId="4" fillId="0" borderId="9" xfId="0" applyFont="1" applyBorder="1" applyAlignment="1">
      <alignment horizontal="right" vertical="top"/>
    </xf>
    <xf numFmtId="0" fontId="4" fillId="0" borderId="9" xfId="0" applyFont="1" applyBorder="1" applyAlignment="1">
      <alignment vertical="top" wrapText="1"/>
    </xf>
    <xf numFmtId="0" fontId="3" fillId="2" borderId="1" xfId="0" applyFont="1" applyFill="1" applyBorder="1" applyAlignment="1"/>
    <xf numFmtId="0" fontId="3" fillId="3" borderId="1" xfId="0" applyFont="1" applyFill="1" applyBorder="1" applyAlignment="1"/>
    <xf numFmtId="165" fontId="54" fillId="0" borderId="9" xfId="0" applyNumberFormat="1" applyFont="1" applyBorder="1" applyAlignment="1">
      <alignment horizontal="right"/>
    </xf>
    <xf numFmtId="0" fontId="4" fillId="0" borderId="9" xfId="0" applyFont="1" applyBorder="1" applyAlignment="1">
      <alignment vertical="top" wrapText="1"/>
    </xf>
    <xf numFmtId="3" fontId="3" fillId="0" borderId="0" xfId="0" applyNumberFormat="1" applyFont="1" applyAlignment="1">
      <alignment horizontal="right"/>
    </xf>
    <xf numFmtId="3" fontId="3" fillId="0" borderId="1" xfId="0" applyNumberFormat="1" applyFont="1" applyBorder="1" applyAlignment="1">
      <alignment horizontal="right"/>
    </xf>
    <xf numFmtId="3" fontId="3" fillId="0" borderId="1" xfId="0" applyNumberFormat="1" applyFont="1" applyBorder="1" applyAlignment="1">
      <alignment horizontal="right"/>
    </xf>
    <xf numFmtId="0" fontId="15" fillId="6" borderId="0" xfId="0" applyFont="1" applyFill="1" applyAlignment="1">
      <alignment horizontal="left"/>
    </xf>
    <xf numFmtId="0" fontId="3" fillId="0" borderId="2" xfId="0" applyFont="1" applyBorder="1" applyAlignment="1"/>
    <xf numFmtId="0" fontId="5" fillId="0" borderId="3" xfId="0" applyFont="1" applyBorder="1"/>
    <xf numFmtId="0" fontId="5" fillId="0" borderId="4" xfId="0" applyFont="1" applyBorder="1"/>
    <xf numFmtId="0" fontId="3" fillId="0" borderId="5" xfId="0" applyFont="1" applyBorder="1"/>
    <xf numFmtId="0" fontId="5" fillId="0" borderId="6" xfId="0" applyFont="1" applyBorder="1"/>
    <xf numFmtId="0" fontId="4" fillId="0" borderId="5" xfId="0" applyFont="1" applyBorder="1" applyAlignment="1">
      <alignment horizontal="center"/>
    </xf>
    <xf numFmtId="0" fontId="5" fillId="0" borderId="7" xfId="0" applyFont="1" applyBorder="1"/>
    <xf numFmtId="0" fontId="4" fillId="0" borderId="8" xfId="0" applyFont="1" applyBorder="1" applyAlignment="1">
      <alignment horizontal="center"/>
    </xf>
    <xf numFmtId="0" fontId="5" fillId="0" borderId="10" xfId="0" applyFont="1" applyBorder="1"/>
    <xf numFmtId="0" fontId="6" fillId="0" borderId="5" xfId="0" applyFont="1" applyBorder="1" applyAlignment="1">
      <alignment horizontal="center"/>
    </xf>
    <xf numFmtId="0" fontId="3" fillId="0" borderId="11" xfId="0" applyFont="1" applyBorder="1" applyAlignment="1"/>
    <xf numFmtId="0" fontId="5" fillId="0" borderId="12" xfId="0" applyFont="1" applyBorder="1"/>
    <xf numFmtId="0" fontId="5" fillId="0" borderId="13" xfId="0" applyFont="1" applyBorder="1"/>
    <xf numFmtId="0" fontId="5" fillId="0" borderId="14" xfId="0" applyFont="1" applyBorder="1"/>
    <xf numFmtId="0" fontId="0" fillId="0" borderId="0" xfId="0" applyFont="1" applyAlignment="1"/>
    <xf numFmtId="0" fontId="5" fillId="0" borderId="15" xfId="0" applyFont="1" applyBorder="1"/>
    <xf numFmtId="0" fontId="5" fillId="0" borderId="16" xfId="0" applyFont="1" applyBorder="1"/>
    <xf numFmtId="0" fontId="5" fillId="0" borderId="17" xfId="0" applyFont="1" applyBorder="1"/>
    <xf numFmtId="0" fontId="5" fillId="0" borderId="18" xfId="0" applyFont="1" applyBorder="1"/>
    <xf numFmtId="0" fontId="3" fillId="0" borderId="5" xfId="0" applyFont="1" applyBorder="1" applyAlignment="1"/>
    <xf numFmtId="0" fontId="1" fillId="0" borderId="2" xfId="0" applyFont="1" applyBorder="1" applyAlignment="1">
      <alignment horizontal="center"/>
    </xf>
    <xf numFmtId="0" fontId="2" fillId="0" borderId="2" xfId="0" applyFont="1" applyBorder="1"/>
    <xf numFmtId="0" fontId="2" fillId="0" borderId="5" xfId="0" applyFont="1" applyBorder="1"/>
    <xf numFmtId="0" fontId="20" fillId="0" borderId="2" xfId="0" applyFont="1" applyBorder="1" applyAlignment="1">
      <alignment horizontal="center"/>
    </xf>
    <xf numFmtId="0" fontId="4" fillId="0" borderId="3" xfId="0" applyFont="1" applyBorder="1" applyAlignment="1">
      <alignment horizontal="center"/>
    </xf>
    <xf numFmtId="0" fontId="23" fillId="0" borderId="3" xfId="0" applyFont="1" applyBorder="1" applyAlignment="1">
      <alignment horizontal="center"/>
    </xf>
    <xf numFmtId="0" fontId="33" fillId="0" borderId="7" xfId="0" applyFont="1" applyBorder="1" applyAlignment="1">
      <alignment horizontal="center"/>
    </xf>
    <xf numFmtId="0" fontId="4" fillId="0" borderId="11" xfId="0" applyFont="1" applyBorder="1" applyAlignment="1">
      <alignment horizontal="center"/>
    </xf>
    <xf numFmtId="0" fontId="2" fillId="0" borderId="27" xfId="0" applyFont="1" applyBorder="1"/>
    <xf numFmtId="0" fontId="5" fillId="0" borderId="28" xfId="0" applyFont="1" applyBorder="1"/>
    <xf numFmtId="0" fontId="1" fillId="0" borderId="27" xfId="0" applyFont="1" applyBorder="1" applyAlignment="1">
      <alignment horizontal="center"/>
    </xf>
    <xf numFmtId="0" fontId="5" fillId="0" borderId="29" xfId="0" applyFont="1" applyBorder="1"/>
    <xf numFmtId="0" fontId="33" fillId="0" borderId="27" xfId="0" applyFont="1" applyBorder="1" applyAlignment="1">
      <alignment horizontal="center"/>
    </xf>
    <xf numFmtId="0" fontId="4" fillId="0" borderId="27" xfId="0" applyFont="1" applyBorder="1" applyAlignment="1">
      <alignment horizontal="center"/>
    </xf>
    <xf numFmtId="3" fontId="4" fillId="0" borderId="8" xfId="0" applyNumberFormat="1" applyFont="1" applyBorder="1" applyAlignment="1">
      <alignment horizontal="center"/>
    </xf>
    <xf numFmtId="0" fontId="5" fillId="0" borderId="23" xfId="0" applyFont="1" applyBorder="1"/>
    <xf numFmtId="165" fontId="3" fillId="0" borderId="5" xfId="0" applyNumberFormat="1" applyFont="1" applyBorder="1" applyAlignment="1">
      <alignment vertical="top"/>
    </xf>
    <xf numFmtId="0" fontId="7" fillId="0" borderId="11" xfId="0" applyFont="1" applyBorder="1" applyAlignment="1">
      <alignment vertical="top"/>
    </xf>
    <xf numFmtId="3" fontId="7" fillId="0" borderId="12" xfId="0" applyNumberFormat="1" applyFont="1" applyBorder="1" applyAlignment="1">
      <alignment vertical="top"/>
    </xf>
    <xf numFmtId="3" fontId="3" fillId="0" borderId="5" xfId="0" applyNumberFormat="1" applyFont="1" applyBorder="1" applyAlignment="1">
      <alignment vertical="top"/>
    </xf>
    <xf numFmtId="0" fontId="3" fillId="0" borderId="5" xfId="0" applyFont="1" applyBorder="1" applyAlignment="1">
      <alignment vertical="top"/>
    </xf>
    <xf numFmtId="0" fontId="4" fillId="0" borderId="5" xfId="0" applyFont="1" applyBorder="1" applyAlignment="1">
      <alignment horizontal="center" vertical="top" wrapText="1"/>
    </xf>
    <xf numFmtId="0" fontId="4" fillId="0" borderId="5" xfId="0" applyFont="1" applyBorder="1" applyAlignment="1">
      <alignment horizontal="center" vertical="top"/>
    </xf>
    <xf numFmtId="4" fontId="3" fillId="0" borderId="5" xfId="0" applyNumberFormat="1" applyFont="1" applyBorder="1" applyAlignment="1">
      <alignment vertical="top"/>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doughnutChart>
        <c:varyColors val="1"/>
        <c:ser>
          <c:idx val="0"/>
          <c:order val="0"/>
          <c:dPt>
            <c:idx val="0"/>
            <c:bubble3D val="0"/>
            <c:spPr>
              <a:solidFill>
                <a:srgbClr val="4285F4"/>
              </a:solidFill>
            </c:spPr>
            <c:extLst>
              <c:ext xmlns:c16="http://schemas.microsoft.com/office/drawing/2014/chart" uri="{C3380CC4-5D6E-409C-BE32-E72D297353CC}">
                <c16:uniqueId val="{00000001-C0DF-47B6-B261-673D4B169C6B}"/>
              </c:ext>
            </c:extLst>
          </c:dPt>
          <c:dPt>
            <c:idx val="1"/>
            <c:bubble3D val="0"/>
            <c:spPr>
              <a:solidFill>
                <a:srgbClr val="EA4335"/>
              </a:solidFill>
            </c:spPr>
            <c:extLst>
              <c:ext xmlns:c16="http://schemas.microsoft.com/office/drawing/2014/chart" uri="{C3380CC4-5D6E-409C-BE32-E72D297353CC}">
                <c16:uniqueId val="{00000003-C0DF-47B6-B261-673D4B169C6B}"/>
              </c:ext>
            </c:extLst>
          </c:dPt>
          <c:cat>
            <c:strRef>
              <c:f>'Sprint 25 (30.10-28.12) '!$B$41:$B$42</c:f>
              <c:strCache>
                <c:ptCount val="2"/>
                <c:pt idx="0">
                  <c:v>Main tasks</c:v>
                </c:pt>
                <c:pt idx="1">
                  <c:v>Additional tasks</c:v>
                </c:pt>
              </c:strCache>
            </c:strRef>
          </c:cat>
          <c:val>
            <c:numRef>
              <c:f>'Sprint 25 (30.10-28.12) '!$C$41:$C$42</c:f>
              <c:numCache>
                <c:formatCode>#\ ##0.0</c:formatCode>
                <c:ptCount val="2"/>
                <c:pt idx="0">
                  <c:v>26912.5</c:v>
                </c:pt>
                <c:pt idx="1">
                  <c:v>1430</c:v>
                </c:pt>
              </c:numCache>
            </c:numRef>
          </c:val>
          <c:extLst>
            <c:ext xmlns:c16="http://schemas.microsoft.com/office/drawing/2014/chart" uri="{C3380CC4-5D6E-409C-BE32-E72D297353CC}">
              <c16:uniqueId val="{00000004-C0DF-47B6-B261-673D4B169C6B}"/>
            </c:ext>
          </c:extLst>
        </c:ser>
        <c:dLbls>
          <c:showLegendKey val="0"/>
          <c:showVal val="0"/>
          <c:showCatName val="0"/>
          <c:showSerName val="0"/>
          <c:showPercent val="0"/>
          <c:showBubbleSize val="0"/>
          <c:showLeaderLines val="1"/>
        </c:dLbls>
        <c:firstSliceAng val="0"/>
        <c:holeSize val="50"/>
      </c:doughnutChart>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9</xdr:col>
      <xdr:colOff>676275</xdr:colOff>
      <xdr:row>16</xdr:row>
      <xdr:rowOff>76200</xdr:rowOff>
    </xdr:from>
    <xdr:ext cx="5715000" cy="3533775"/>
    <xdr:graphicFrame macro="">
      <xdr:nvGraphicFramePr>
        <xdr:cNvPr id="2" name="Chart 1" title="Диаграмма">
          <a:extLst>
            <a:ext uri="{FF2B5EF4-FFF2-40B4-BE49-F238E27FC236}">
              <a16:creationId xmlns:a16="http://schemas.microsoft.com/office/drawing/2014/main" id="{00000000-0008-0000-1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x18tc:personList xmlns:x18tc="http://schemas.microsoft.com/office/spreadsheetml/2018/threadedcomments">
  <x18tc:person displayName="Aleksei K" id="{75b9c879-19a9-41bd-b1d8-91703d72d0c7}" providerId="google-sheets"/>
  <x18tc:person displayName="Филипп Пономарев" id="{03ba4f0d-4d7d-4ae0-ae77-fefb624b0525}"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 dT="2023-01-24T06:52:23.00" personId="{75b9c879-19a9-41bd-b1d8-91703d72d0c7}" id="{be5d33ef-de10-473f-b9af-19438d10119c}" done="0">
    <x18tc:text xml:space="preserve">The admin panel does not check access rights to read fields, this is a potential security weakness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8" dT="2023-03-23T10:40:32.00" personId="{75b9c879-19a9-41bd-b1d8-91703d72d0c7}" id="{72974113-bea5-4dd1-9411-a2304e6f7b0e}" done="0">
    <x18tc:text xml:space="preserve">In GitHub</x18tc:text>
  </x18tc:threadedComment>
  <x18tc:threadedComment ref="B12" dT="2023-03-15T07:09:24.00" personId="{75b9c879-19a9-41bd-b1d8-91703d72d0c7}" id="{a8ed1537-11e6-40e7-b1b9-0d868b01981d}" done="0">
    <x18tc:text xml:space="preserve">It would be good for us to explain here that we can either use usd_amount or coin_amount. The example should not show both options in the same schema</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3" dT="2023-10-02T14:10:44.00" personId="{75b9c879-19a9-41bd-b1d8-91703d72d0c7}" id="{5b696e3d-acb2-4a00-8047-5cbdccebae53}" done="0">
    <x18tc:text xml:space="preserve">On the prod bps01-prd-sjo, at the time the transaction was sent, there was a lag in blocks due to the fact that before that, in the period from 0:00 to 10:00 UTC, the system did not work, there was no collection of logs</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4" dT="2023-12-05T07:18:12.00" personId="{75b9c879-19a9-41bd-b1d8-91703d72d0c7}" id="{598fc286-1042-47ac-afb6-c53fb45753c0}" done="0">
    <x18tc:text xml:space="preserve">Total: the problem is in the node, namely in the version of the node. Calling the eth_getBlockByNumber method returns different results: in the new version, gasPrice is equal to maxPriorityFeePerGas, in the old version, gasPrice is exactly the final price for gas. The correction is as follows: take the effectiveGasPrice value from the result of calling the eth_getTransactionReceipt method as the final gas price (the result is the same in two versions)</x18tc:text>
  </x18tc:threadedComment>
  <x18tc:threadedComment ref="B2" dT="2023-11-01T15:03:13.00" personId="{75b9c879-19a9-41bd-b1d8-91703d72d0c7}" id="{4ebf21ea-e326-47f9-b48a-39fb4663e804}" done="0">
    <x18tc:text xml:space="preserve">Make a common repository that will accept a model for blocks and a model for transactions
Make a general block scanner, because... The logic for downloading blocks is the same, only the model names differ
Create a common interface for interaction with the node, because they run on top of web3</x18tc:text>
  </x18tc:threadedComment>
  <x18tc:threadedComment ref="B21" dT="2023-12-05T07:39:17.00" personId="{75b9c879-19a9-41bd-b1d8-91703d72d0c7}" id="{7f97fed1-cf01-4d9a-aec3-51187d74d5d7}" done="0">
    <x18tc:text xml:space="preserve">Add:
Ethereum USDC
Ethereum SHIB
Ethereum LINK
Ethereum TUSD
Ethereum PYUSD
Binance BUSD
Delete:
BNB-Peg Bitcoin
BNB-Peg-Ethereum
BNB-USDT</x18tc:text>
  </x18tc:threadedComment>
  <x18tc:threadedComment ref="B12" dT="2023-12-05T07:15:19.00" personId="{75b9c879-19a9-41bd-b1d8-91703d72d0c7}" id="{384f415f-e7f1-46d5-be99-ea6ad0693c14}" done="0">
    <x18tc:text xml:space="preserve">Often people request a deposit, for example, in USDT Ethereum, and replenish the deposit in ETH. William wants to be able to count these payments.
To do this, we add the ability for the administrator to make a replacement (Replace). To do this, on the deposits page, the admin must click Details, and in the window that opens, click Replace.</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4" dT="2024-05-16T11:53:07.00" personId="{75b9c879-19a9-41bd-b1d8-91703d72d0c7}" id="{f1a1b1d7-629c-4a3e-a06d-aae98a0efb77}" done="0">
    <x18tc:text xml:space="preserve">to 16.05 we have used 40 hours, if everything goes according to the positive scenario, we will need another 60 hours</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0" dT="2024-07-01T09:07:29.00" personId="{75b9c879-19a9-41bd-b1d8-91703d72d0c7}" id="{a70ab797-7550-43ac-acd6-4e82f6fc362c}" done="0">
    <x18tc:text xml:space="preserve">If it is exist in the system</x18tc:text>
  </x18tc:threadedComment>
</x18tc:ThreadedComment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hyperlink" Target="https://gitlab.com/chancetel/bps/-/issues/80" TargetMode="External"/><Relationship Id="rId1" Type="http://schemas.openxmlformats.org/officeDocument/2006/relationships/hyperlink" Target="https://gitlab.com/chancetel/bps/-/issues/76" TargetMode="External"/><Relationship Id="rId5" Type="http://schemas.microsoft.com/office/2017/10/relationships/threadedComment" Target="../threadedComments/threadedComment4.xml"/><Relationship Id="rId4" Type="http://schemas.openxmlformats.org/officeDocument/2006/relationships/comments" Target="../comments3.xml"/></Relationships>
</file>

<file path=xl/worksheets/_rels/sheet21.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6.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9.xml.rels><?xml version="1.0" encoding="UTF-8" standalone="yes"?>
<Relationships xmlns="http://schemas.openxmlformats.org/package/2006/relationships"><Relationship Id="rId2" Type="http://schemas.openxmlformats.org/officeDocument/2006/relationships/hyperlink" Target="https://discord.com/channels/417562756309450753/1276488365189103707/1282657168926965815" TargetMode="External"/><Relationship Id="rId1" Type="http://schemas.openxmlformats.org/officeDocument/2006/relationships/hyperlink" Target="https://discord.com/channels/417562756309450753/1276488365189103707/1282657168926965815" TargetMode="External"/></Relationships>
</file>

<file path=xl/worksheets/_rels/sheet30.xml.rels><?xml version="1.0" encoding="UTF-8" standalone="yes"?>
<Relationships xmlns="http://schemas.openxmlformats.org/package/2006/relationships"><Relationship Id="rId3" Type="http://schemas.openxmlformats.org/officeDocument/2006/relationships/hyperlink" Target="https://linear.app/blockchainlabs/issue/MAU-143" TargetMode="External"/><Relationship Id="rId2" Type="http://schemas.openxmlformats.org/officeDocument/2006/relationships/hyperlink" Target="https://linear.app/blockchainlabs/issue/MAU-20" TargetMode="External"/><Relationship Id="rId1" Type="http://schemas.openxmlformats.org/officeDocument/2006/relationships/hyperlink" Target="https://linear.app/blockchainlabs/issue/MAU-143" TargetMode="External"/><Relationship Id="rId6" Type="http://schemas.openxmlformats.org/officeDocument/2006/relationships/hyperlink" Target="https://linear.app/blockchainlabs/issue/MAU-20" TargetMode="External"/><Relationship Id="rId5" Type="http://schemas.openxmlformats.org/officeDocument/2006/relationships/hyperlink" Target="https://linear.app/blockchainlabs/issue/MAU-143" TargetMode="External"/><Relationship Id="rId4" Type="http://schemas.openxmlformats.org/officeDocument/2006/relationships/hyperlink" Target="https://linear.app/blockchainlabs/issue/MAU-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9"/>
  <sheetViews>
    <sheetView workbookViewId="0">
      <pane ySplit="1" topLeftCell="A2" activePane="bottomLeft" state="frozen"/>
      <selection pane="bottomLeft" activeCell="B3" sqref="B3"/>
    </sheetView>
  </sheetViews>
  <sheetFormatPr defaultColWidth="12.5703125" defaultRowHeight="15.75" customHeight="1"/>
  <cols>
    <col min="1" max="1" width="5.140625" customWidth="1"/>
    <col min="2" max="2" width="67.5703125" customWidth="1"/>
    <col min="3" max="3" width="17" customWidth="1"/>
    <col min="4" max="4" width="20.5703125" hidden="1" customWidth="1"/>
    <col min="8" max="8" width="16.5703125" customWidth="1"/>
  </cols>
  <sheetData>
    <row r="1" spans="1:10">
      <c r="A1" s="1" t="s">
        <v>39</v>
      </c>
      <c r="B1" s="1" t="s">
        <v>0</v>
      </c>
      <c r="C1" s="1" t="s">
        <v>1</v>
      </c>
      <c r="D1" s="1" t="s">
        <v>2</v>
      </c>
      <c r="E1" s="1" t="s">
        <v>3</v>
      </c>
      <c r="F1" s="1" t="s">
        <v>4</v>
      </c>
      <c r="G1" s="1" t="s">
        <v>5</v>
      </c>
    </row>
    <row r="2" spans="1:10">
      <c r="A2" s="48"/>
      <c r="B2" s="16" t="s">
        <v>40</v>
      </c>
      <c r="C2" s="13">
        <v>32</v>
      </c>
      <c r="D2" s="49"/>
      <c r="E2" s="13">
        <v>40</v>
      </c>
      <c r="F2" s="50">
        <f t="shared" ref="F2:F3" si="0">E2*35</f>
        <v>1400</v>
      </c>
      <c r="G2" s="51" t="s">
        <v>41</v>
      </c>
    </row>
    <row r="3" spans="1:10">
      <c r="A3" s="2"/>
      <c r="B3" s="51" t="s">
        <v>42</v>
      </c>
      <c r="C3" s="51"/>
      <c r="D3" s="49"/>
      <c r="E3" s="13">
        <v>22</v>
      </c>
      <c r="F3" s="50">
        <f t="shared" si="0"/>
        <v>770</v>
      </c>
      <c r="G3" s="51" t="s">
        <v>41</v>
      </c>
    </row>
    <row r="4" spans="1:10">
      <c r="E4" s="52" t="s">
        <v>38</v>
      </c>
      <c r="F4" s="50">
        <f>SUM(F2:F3)</f>
        <v>2170</v>
      </c>
      <c r="H4" s="53"/>
      <c r="I4" s="53"/>
      <c r="J4" s="53"/>
    </row>
    <row r="5" spans="1:10">
      <c r="F5" s="6"/>
      <c r="G5" s="6"/>
      <c r="H5" s="6"/>
      <c r="I5" s="6"/>
      <c r="J5" s="6"/>
    </row>
    <row r="6" spans="1:10">
      <c r="E6" s="6"/>
      <c r="F6" s="6"/>
      <c r="G6" s="6"/>
      <c r="H6" s="6"/>
      <c r="I6" s="6"/>
      <c r="J6" s="6"/>
    </row>
    <row r="7" spans="1:10">
      <c r="C7" s="7"/>
      <c r="E7" s="6"/>
      <c r="H7" s="54"/>
      <c r="I7" s="6"/>
      <c r="J7" s="6"/>
    </row>
    <row r="9" spans="1:10">
      <c r="F9"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
  <sheetViews>
    <sheetView workbookViewId="0">
      <pane ySplit="1" topLeftCell="A2" activePane="bottomLeft" state="frozen"/>
      <selection pane="bottomLeft" activeCell="B3" sqref="B3"/>
    </sheetView>
  </sheetViews>
  <sheetFormatPr defaultColWidth="12.5703125" defaultRowHeight="15.75" customHeight="1"/>
  <cols>
    <col min="1" max="1" width="5.140625" customWidth="1"/>
    <col min="2" max="2" width="67.5703125" customWidth="1"/>
    <col min="3" max="3" width="17" customWidth="1"/>
    <col min="4" max="4" width="20.5703125" hidden="1" customWidth="1"/>
    <col min="7" max="7" width="14.85546875" customWidth="1"/>
    <col min="8" max="8" width="16.5703125" customWidth="1"/>
  </cols>
  <sheetData>
    <row r="1" spans="1:27">
      <c r="A1" s="1" t="s">
        <v>39</v>
      </c>
      <c r="B1" s="1" t="s">
        <v>0</v>
      </c>
      <c r="C1" s="1" t="s">
        <v>1</v>
      </c>
      <c r="D1" s="1" t="s">
        <v>2</v>
      </c>
      <c r="E1" s="1" t="s">
        <v>3</v>
      </c>
      <c r="F1" s="1" t="s">
        <v>4</v>
      </c>
      <c r="G1" s="1" t="s">
        <v>5</v>
      </c>
    </row>
    <row r="2" spans="1:27">
      <c r="A2" s="2" t="s">
        <v>43</v>
      </c>
      <c r="B2" s="55" t="s">
        <v>44</v>
      </c>
      <c r="C2" s="48"/>
      <c r="D2" s="49"/>
      <c r="E2" s="13"/>
      <c r="F2" s="50"/>
      <c r="G2" s="51"/>
    </row>
    <row r="3" spans="1:27">
      <c r="A3" s="48">
        <v>26</v>
      </c>
      <c r="B3" s="56" t="s">
        <v>45</v>
      </c>
      <c r="C3" s="48">
        <v>36</v>
      </c>
      <c r="D3" s="49"/>
      <c r="E3" s="48">
        <v>20</v>
      </c>
      <c r="F3" s="50">
        <f t="shared" ref="F3:F9" si="0">E3*35</f>
        <v>700</v>
      </c>
      <c r="G3" s="5" t="s">
        <v>41</v>
      </c>
    </row>
    <row r="4" spans="1:27">
      <c r="A4" s="5">
        <v>27</v>
      </c>
      <c r="B4" s="56" t="s">
        <v>46</v>
      </c>
      <c r="C4" s="57">
        <v>16</v>
      </c>
      <c r="D4" s="58"/>
      <c r="E4" s="57">
        <v>7</v>
      </c>
      <c r="F4" s="50">
        <f t="shared" si="0"/>
        <v>245</v>
      </c>
      <c r="G4" s="59" t="s">
        <v>41</v>
      </c>
      <c r="H4" s="12"/>
      <c r="I4" s="12"/>
      <c r="J4" s="12"/>
      <c r="K4" s="12"/>
      <c r="L4" s="12"/>
      <c r="M4" s="12"/>
      <c r="N4" s="12"/>
      <c r="O4" s="12"/>
      <c r="P4" s="12"/>
      <c r="Q4" s="12"/>
      <c r="R4" s="12"/>
      <c r="S4" s="12"/>
      <c r="T4" s="12"/>
      <c r="U4" s="12"/>
      <c r="V4" s="12"/>
      <c r="W4" s="12"/>
      <c r="X4" s="12"/>
      <c r="Y4" s="12"/>
      <c r="Z4" s="12"/>
      <c r="AA4" s="12"/>
    </row>
    <row r="5" spans="1:27">
      <c r="A5" s="5">
        <v>28</v>
      </c>
      <c r="B5" s="56" t="s">
        <v>47</v>
      </c>
      <c r="C5" s="57">
        <v>4</v>
      </c>
      <c r="D5" s="58"/>
      <c r="E5" s="57">
        <v>4</v>
      </c>
      <c r="F5" s="50">
        <f t="shared" si="0"/>
        <v>140</v>
      </c>
      <c r="G5" s="59" t="s">
        <v>41</v>
      </c>
      <c r="H5" s="12"/>
      <c r="I5" s="12"/>
      <c r="J5" s="12"/>
      <c r="K5" s="12"/>
      <c r="L5" s="12"/>
      <c r="M5" s="12"/>
      <c r="N5" s="12"/>
      <c r="O5" s="12"/>
      <c r="P5" s="12"/>
      <c r="Q5" s="12"/>
      <c r="R5" s="12"/>
      <c r="S5" s="12"/>
      <c r="T5" s="12"/>
      <c r="U5" s="12"/>
      <c r="V5" s="12"/>
      <c r="W5" s="12"/>
      <c r="X5" s="12"/>
      <c r="Y5" s="12"/>
      <c r="Z5" s="12"/>
      <c r="AA5" s="12"/>
    </row>
    <row r="6" spans="1:27">
      <c r="A6" s="2">
        <v>30</v>
      </c>
      <c r="B6" s="60" t="s">
        <v>48</v>
      </c>
      <c r="C6" s="3">
        <v>16</v>
      </c>
      <c r="D6" s="4"/>
      <c r="E6" s="2">
        <v>9</v>
      </c>
      <c r="F6" s="50">
        <f t="shared" si="0"/>
        <v>315</v>
      </c>
      <c r="G6" s="2" t="s">
        <v>41</v>
      </c>
      <c r="H6" s="54"/>
      <c r="I6" s="6"/>
      <c r="J6" s="6"/>
    </row>
    <row r="7" spans="1:27">
      <c r="A7" s="2">
        <v>31</v>
      </c>
      <c r="B7" s="60" t="s">
        <v>49</v>
      </c>
      <c r="C7" s="2">
        <v>24</v>
      </c>
      <c r="D7" s="4"/>
      <c r="E7" s="2">
        <v>30</v>
      </c>
      <c r="F7" s="50">
        <f t="shared" si="0"/>
        <v>1050</v>
      </c>
      <c r="G7" s="2" t="s">
        <v>50</v>
      </c>
    </row>
    <row r="8" spans="1:27">
      <c r="A8" s="2">
        <v>29</v>
      </c>
      <c r="B8" s="60" t="s">
        <v>51</v>
      </c>
      <c r="C8" s="2">
        <v>20</v>
      </c>
      <c r="D8" s="4"/>
      <c r="E8" s="2">
        <v>19</v>
      </c>
      <c r="F8" s="50">
        <f t="shared" si="0"/>
        <v>665</v>
      </c>
      <c r="G8" s="2" t="s">
        <v>41</v>
      </c>
    </row>
    <row r="9" spans="1:27">
      <c r="A9" s="2">
        <v>32</v>
      </c>
      <c r="B9" s="60" t="s">
        <v>52</v>
      </c>
      <c r="C9" s="2">
        <v>24</v>
      </c>
      <c r="D9" s="4"/>
      <c r="E9" s="2">
        <v>24</v>
      </c>
      <c r="F9" s="50">
        <f t="shared" si="0"/>
        <v>840</v>
      </c>
      <c r="G9" s="2" t="s">
        <v>41</v>
      </c>
    </row>
    <row r="10" spans="1:27">
      <c r="C10" s="52"/>
      <c r="E10" s="48" t="s">
        <v>53</v>
      </c>
      <c r="F10" s="50">
        <f>SUM(F3:F9)</f>
        <v>3955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7"/>
  <sheetViews>
    <sheetView workbookViewId="0">
      <pane ySplit="1" topLeftCell="A2" activePane="bottomLeft" state="frozen"/>
      <selection pane="bottomLeft" activeCell="B3" sqref="B3"/>
    </sheetView>
  </sheetViews>
  <sheetFormatPr defaultColWidth="12.5703125" defaultRowHeight="15.75" customHeight="1"/>
  <cols>
    <col min="1" max="1" width="5.140625" customWidth="1"/>
    <col min="2" max="2" width="67.5703125" customWidth="1"/>
    <col min="3" max="3" width="17" customWidth="1"/>
    <col min="4" max="4" width="20.5703125" hidden="1" customWidth="1"/>
    <col min="7" max="7" width="38.5703125" customWidth="1"/>
    <col min="8" max="8" width="16.5703125" customWidth="1"/>
  </cols>
  <sheetData>
    <row r="1" spans="1:27">
      <c r="A1" s="1" t="s">
        <v>39</v>
      </c>
      <c r="B1" s="1" t="s">
        <v>0</v>
      </c>
      <c r="C1" s="1" t="s">
        <v>1</v>
      </c>
      <c r="D1" s="1" t="s">
        <v>2</v>
      </c>
      <c r="E1" s="1" t="s">
        <v>3</v>
      </c>
      <c r="F1" s="1" t="s">
        <v>4</v>
      </c>
      <c r="G1" s="1" t="s">
        <v>5</v>
      </c>
    </row>
    <row r="2" spans="1:27">
      <c r="A2" s="2"/>
      <c r="B2" s="61" t="s">
        <v>54</v>
      </c>
      <c r="C2" s="48">
        <v>10</v>
      </c>
      <c r="D2" s="49"/>
      <c r="E2" s="48">
        <v>10</v>
      </c>
      <c r="F2" s="50">
        <f t="shared" ref="F2:F6" si="0">35*E2</f>
        <v>350</v>
      </c>
      <c r="G2" s="5" t="s">
        <v>41</v>
      </c>
    </row>
    <row r="3" spans="1:27">
      <c r="A3" s="48"/>
      <c r="B3" s="62" t="s">
        <v>55</v>
      </c>
      <c r="C3" s="48">
        <v>40</v>
      </c>
      <c r="D3" s="49"/>
      <c r="E3" s="48"/>
      <c r="F3" s="50">
        <f t="shared" si="0"/>
        <v>0</v>
      </c>
      <c r="G3" s="5" t="s">
        <v>56</v>
      </c>
    </row>
    <row r="4" spans="1:27">
      <c r="A4" s="5">
        <v>37</v>
      </c>
      <c r="B4" s="62" t="s">
        <v>57</v>
      </c>
      <c r="C4" s="57">
        <v>30</v>
      </c>
      <c r="D4" s="58"/>
      <c r="E4" s="57">
        <v>23</v>
      </c>
      <c r="F4" s="50">
        <f t="shared" si="0"/>
        <v>805</v>
      </c>
      <c r="G4" s="5" t="s">
        <v>58</v>
      </c>
      <c r="H4" s="12"/>
      <c r="I4" s="12"/>
      <c r="J4" s="12"/>
      <c r="K4" s="12"/>
      <c r="L4" s="12"/>
      <c r="M4" s="12"/>
      <c r="N4" s="12"/>
      <c r="O4" s="12"/>
      <c r="P4" s="12"/>
      <c r="Q4" s="12"/>
      <c r="R4" s="12"/>
      <c r="S4" s="12"/>
      <c r="T4" s="12"/>
      <c r="U4" s="12"/>
      <c r="V4" s="12"/>
      <c r="W4" s="12"/>
      <c r="X4" s="12"/>
      <c r="Y4" s="12"/>
      <c r="Z4" s="12"/>
      <c r="AA4" s="12"/>
    </row>
    <row r="5" spans="1:27">
      <c r="A5" s="5">
        <v>39</v>
      </c>
      <c r="B5" s="62" t="s">
        <v>59</v>
      </c>
      <c r="C5" s="57">
        <v>8</v>
      </c>
      <c r="D5" s="58"/>
      <c r="E5" s="57">
        <v>8</v>
      </c>
      <c r="F5" s="50">
        <f t="shared" si="0"/>
        <v>280</v>
      </c>
      <c r="G5" s="5" t="s">
        <v>60</v>
      </c>
      <c r="H5" s="12"/>
      <c r="I5" s="12"/>
      <c r="J5" s="12"/>
      <c r="K5" s="12"/>
      <c r="L5" s="12"/>
      <c r="M5" s="12"/>
      <c r="N5" s="12"/>
      <c r="O5" s="12"/>
      <c r="P5" s="12"/>
      <c r="Q5" s="12"/>
      <c r="R5" s="12"/>
      <c r="S5" s="12"/>
      <c r="T5" s="12"/>
      <c r="U5" s="12"/>
      <c r="V5" s="12"/>
      <c r="W5" s="12"/>
      <c r="X5" s="12"/>
      <c r="Y5" s="12"/>
      <c r="Z5" s="12"/>
      <c r="AA5" s="12"/>
    </row>
    <row r="6" spans="1:27">
      <c r="A6" s="2">
        <v>38</v>
      </c>
      <c r="B6" s="60" t="s">
        <v>61</v>
      </c>
      <c r="C6" s="3"/>
      <c r="D6" s="4"/>
      <c r="E6" s="2">
        <v>0</v>
      </c>
      <c r="F6" s="50">
        <f t="shared" si="0"/>
        <v>0</v>
      </c>
      <c r="G6" s="5" t="s">
        <v>41</v>
      </c>
      <c r="H6" s="54"/>
      <c r="I6" s="6"/>
      <c r="J6" s="6"/>
    </row>
    <row r="7" spans="1:27">
      <c r="E7" s="63" t="s">
        <v>53</v>
      </c>
      <c r="F7" s="4">
        <f>SUM(F2:F6)</f>
        <v>1435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13"/>
  <sheetViews>
    <sheetView workbookViewId="0">
      <pane ySplit="1" topLeftCell="A2" activePane="bottomLeft" state="frozen"/>
      <selection pane="bottomLeft" activeCell="B3" sqref="B3"/>
    </sheetView>
  </sheetViews>
  <sheetFormatPr defaultColWidth="12.5703125" defaultRowHeight="15.75" customHeight="1"/>
  <cols>
    <col min="1" max="1" width="5.140625" customWidth="1"/>
    <col min="2" max="2" width="67.5703125" customWidth="1"/>
    <col min="3" max="3" width="17" customWidth="1"/>
    <col min="4" max="4" width="20.5703125" hidden="1" customWidth="1"/>
    <col min="8" max="8" width="16.5703125" customWidth="1"/>
  </cols>
  <sheetData>
    <row r="1" spans="1:27" ht="12.75">
      <c r="A1" s="1" t="s">
        <v>39</v>
      </c>
      <c r="B1" s="1" t="s">
        <v>0</v>
      </c>
      <c r="C1" s="1" t="s">
        <v>1</v>
      </c>
      <c r="D1" s="1" t="s">
        <v>2</v>
      </c>
      <c r="E1" s="1" t="s">
        <v>3</v>
      </c>
      <c r="F1" s="1" t="s">
        <v>4</v>
      </c>
      <c r="G1" s="1" t="s">
        <v>5</v>
      </c>
    </row>
    <row r="2" spans="1:27" ht="14.25">
      <c r="A2" s="5">
        <v>37</v>
      </c>
      <c r="B2" s="62" t="s">
        <v>62</v>
      </c>
      <c r="C2" s="64">
        <v>7</v>
      </c>
      <c r="D2" s="58"/>
      <c r="E2" s="57">
        <v>0</v>
      </c>
      <c r="F2" s="50">
        <f t="shared" ref="F2:F5" si="0">35*E2</f>
        <v>0</v>
      </c>
      <c r="G2" s="5" t="s">
        <v>63</v>
      </c>
    </row>
    <row r="3" spans="1:27" ht="14.25">
      <c r="A3" s="5">
        <v>40</v>
      </c>
      <c r="B3" s="65" t="s">
        <v>64</v>
      </c>
      <c r="C3" s="57">
        <v>8</v>
      </c>
      <c r="D3" s="58"/>
      <c r="E3" s="57">
        <v>7</v>
      </c>
      <c r="F3" s="50">
        <f t="shared" si="0"/>
        <v>245</v>
      </c>
      <c r="G3" s="5" t="s">
        <v>31</v>
      </c>
      <c r="H3" s="12"/>
      <c r="I3" s="12"/>
      <c r="J3" s="12"/>
      <c r="K3" s="12"/>
      <c r="L3" s="12"/>
      <c r="M3" s="12"/>
      <c r="N3" s="12"/>
      <c r="O3" s="12"/>
      <c r="P3" s="12"/>
      <c r="Q3" s="12"/>
      <c r="R3" s="12"/>
      <c r="S3" s="12"/>
      <c r="T3" s="12"/>
      <c r="U3" s="12"/>
      <c r="V3" s="12"/>
      <c r="W3" s="12"/>
      <c r="X3" s="12"/>
      <c r="Y3" s="12"/>
      <c r="Z3" s="12"/>
      <c r="AA3" s="12"/>
    </row>
    <row r="4" spans="1:27" ht="14.25">
      <c r="A4" s="2">
        <v>41</v>
      </c>
      <c r="B4" s="60" t="s">
        <v>65</v>
      </c>
      <c r="C4" s="2">
        <v>5</v>
      </c>
      <c r="D4" s="4"/>
      <c r="E4" s="2">
        <v>5</v>
      </c>
      <c r="F4" s="50">
        <f t="shared" si="0"/>
        <v>175</v>
      </c>
      <c r="G4" s="5" t="s">
        <v>31</v>
      </c>
      <c r="H4" s="54"/>
      <c r="I4" s="6"/>
      <c r="J4" s="6"/>
    </row>
    <row r="5" spans="1:27" ht="14.25">
      <c r="A5" s="2">
        <v>47</v>
      </c>
      <c r="B5" s="66" t="s">
        <v>66</v>
      </c>
      <c r="C5" s="2">
        <v>2</v>
      </c>
      <c r="D5" s="4"/>
      <c r="E5" s="2">
        <v>2</v>
      </c>
      <c r="F5" s="50">
        <f t="shared" si="0"/>
        <v>70</v>
      </c>
      <c r="G5" s="5" t="s">
        <v>31</v>
      </c>
    </row>
    <row r="6" spans="1:27" ht="14.25">
      <c r="A6" s="4"/>
      <c r="B6" s="67" t="s">
        <v>67</v>
      </c>
      <c r="G6" s="68"/>
    </row>
    <row r="7" spans="1:27" ht="28.5" customHeight="1">
      <c r="A7" s="2">
        <v>42</v>
      </c>
      <c r="B7" s="60" t="s">
        <v>68</v>
      </c>
      <c r="C7" s="2">
        <v>4</v>
      </c>
      <c r="D7" s="4"/>
      <c r="E7" s="2">
        <v>4</v>
      </c>
      <c r="F7" s="4">
        <f t="shared" ref="F7:F10" si="1">E7*35</f>
        <v>140</v>
      </c>
      <c r="G7" s="5" t="s">
        <v>31</v>
      </c>
    </row>
    <row r="8" spans="1:27" ht="57">
      <c r="A8" s="2">
        <v>43</v>
      </c>
      <c r="B8" s="69" t="s">
        <v>69</v>
      </c>
      <c r="C8" s="2">
        <v>20</v>
      </c>
      <c r="D8" s="4"/>
      <c r="E8" s="2">
        <v>22</v>
      </c>
      <c r="F8" s="4">
        <f t="shared" si="1"/>
        <v>770</v>
      </c>
      <c r="G8" s="5" t="s">
        <v>31</v>
      </c>
    </row>
    <row r="9" spans="1:27" ht="14.25">
      <c r="A9" s="2">
        <v>44</v>
      </c>
      <c r="B9" s="70" t="s">
        <v>70</v>
      </c>
      <c r="C9" s="2">
        <v>2</v>
      </c>
      <c r="D9" s="4"/>
      <c r="E9" s="2">
        <v>2</v>
      </c>
      <c r="F9" s="4">
        <f t="shared" si="1"/>
        <v>70</v>
      </c>
      <c r="G9" s="5" t="s">
        <v>31</v>
      </c>
    </row>
    <row r="10" spans="1:27" ht="57">
      <c r="A10" s="2">
        <v>45</v>
      </c>
      <c r="B10" s="60" t="s">
        <v>71</v>
      </c>
      <c r="C10" s="2">
        <v>2</v>
      </c>
      <c r="D10" s="4"/>
      <c r="E10" s="2">
        <v>0</v>
      </c>
      <c r="F10" s="4">
        <f t="shared" si="1"/>
        <v>0</v>
      </c>
      <c r="G10" s="5" t="s">
        <v>72</v>
      </c>
    </row>
    <row r="11" spans="1:27" ht="14.25">
      <c r="B11" s="71"/>
      <c r="E11" s="2" t="s">
        <v>53</v>
      </c>
      <c r="F11" s="4">
        <f>SUM(F2:F10)</f>
        <v>1470</v>
      </c>
    </row>
    <row r="13" spans="1:27" ht="14.25">
      <c r="B13" s="7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A13"/>
  <sheetViews>
    <sheetView workbookViewId="0">
      <pane ySplit="1" topLeftCell="A2" activePane="bottomLeft" state="frozen"/>
      <selection pane="bottomLeft" activeCell="B3" sqref="B3"/>
    </sheetView>
  </sheetViews>
  <sheetFormatPr defaultColWidth="12.5703125" defaultRowHeight="15.75" customHeight="1"/>
  <cols>
    <col min="1" max="1" width="6.7109375" customWidth="1"/>
    <col min="2" max="2" width="67.5703125" customWidth="1"/>
    <col min="3" max="3" width="17" customWidth="1"/>
    <col min="4" max="4" width="20.5703125" hidden="1" customWidth="1"/>
    <col min="8" max="8" width="16.5703125" customWidth="1"/>
  </cols>
  <sheetData>
    <row r="1" spans="1:27" ht="12.75">
      <c r="A1" s="1" t="s">
        <v>39</v>
      </c>
      <c r="B1" s="1" t="s">
        <v>0</v>
      </c>
      <c r="C1" s="1" t="s">
        <v>1</v>
      </c>
      <c r="D1" s="1" t="s">
        <v>2</v>
      </c>
      <c r="E1" s="1" t="s">
        <v>3</v>
      </c>
      <c r="F1" s="1" t="s">
        <v>4</v>
      </c>
      <c r="G1" s="1" t="s">
        <v>5</v>
      </c>
    </row>
    <row r="2" spans="1:27" ht="12.75">
      <c r="D2" s="49"/>
      <c r="E2" s="48"/>
      <c r="F2" s="50"/>
      <c r="G2" s="5"/>
    </row>
    <row r="3" spans="1:27" ht="14.25">
      <c r="A3" s="5">
        <v>48</v>
      </c>
      <c r="B3" s="62" t="s">
        <v>73</v>
      </c>
      <c r="C3" s="48">
        <v>6</v>
      </c>
      <c r="D3" s="49"/>
      <c r="E3" s="48">
        <v>6</v>
      </c>
      <c r="F3" s="50">
        <f t="shared" ref="F3:F6" si="0">35*E3</f>
        <v>210</v>
      </c>
      <c r="G3" s="5" t="s">
        <v>31</v>
      </c>
    </row>
    <row r="4" spans="1:27" ht="14.25">
      <c r="A4" s="4"/>
      <c r="B4" s="62" t="s">
        <v>74</v>
      </c>
      <c r="C4" s="2">
        <v>2</v>
      </c>
      <c r="D4" s="4"/>
      <c r="E4" s="2">
        <v>2</v>
      </c>
      <c r="F4" s="50">
        <f t="shared" si="0"/>
        <v>70</v>
      </c>
      <c r="G4" s="5" t="s">
        <v>31</v>
      </c>
      <c r="H4" s="12"/>
      <c r="I4" s="12"/>
      <c r="J4" s="12"/>
      <c r="K4" s="12"/>
      <c r="L4" s="12"/>
      <c r="M4" s="12"/>
      <c r="N4" s="12"/>
      <c r="O4" s="12"/>
      <c r="P4" s="12"/>
      <c r="Q4" s="12"/>
      <c r="R4" s="12"/>
      <c r="S4" s="12"/>
      <c r="T4" s="12"/>
      <c r="U4" s="12"/>
      <c r="V4" s="12"/>
      <c r="W4" s="12"/>
      <c r="X4" s="12"/>
      <c r="Y4" s="12"/>
      <c r="Z4" s="12"/>
      <c r="AA4" s="12"/>
    </row>
    <row r="5" spans="1:27" ht="14.25">
      <c r="A5" s="2">
        <v>49</v>
      </c>
      <c r="B5" s="60" t="s">
        <v>75</v>
      </c>
      <c r="C5" s="2">
        <v>2</v>
      </c>
      <c r="D5" s="4"/>
      <c r="E5" s="2">
        <v>2</v>
      </c>
      <c r="F5" s="50">
        <f t="shared" si="0"/>
        <v>70</v>
      </c>
      <c r="G5" s="5" t="s">
        <v>31</v>
      </c>
      <c r="H5" s="54"/>
      <c r="I5" s="6"/>
      <c r="J5" s="6"/>
    </row>
    <row r="6" spans="1:27" ht="14.25">
      <c r="A6" s="63" t="s">
        <v>76</v>
      </c>
      <c r="B6" s="60" t="s">
        <v>77</v>
      </c>
      <c r="C6" s="2">
        <v>24</v>
      </c>
      <c r="D6" s="4"/>
      <c r="E6" s="2">
        <v>16</v>
      </c>
      <c r="F6" s="50">
        <f t="shared" si="0"/>
        <v>560</v>
      </c>
      <c r="G6" s="5" t="s">
        <v>31</v>
      </c>
    </row>
    <row r="7" spans="1:27" ht="16.5" customHeight="1">
      <c r="B7" s="71"/>
      <c r="C7" s="6"/>
      <c r="E7" s="2" t="s">
        <v>53</v>
      </c>
      <c r="F7" s="4">
        <f>SUM(F2:F6)</f>
        <v>910</v>
      </c>
      <c r="G7" s="8"/>
    </row>
    <row r="8" spans="1:27" ht="14.25">
      <c r="B8" s="61"/>
      <c r="C8" s="6"/>
      <c r="G8" s="8"/>
    </row>
    <row r="9" spans="1:27" ht="14.25">
      <c r="B9" s="72"/>
      <c r="C9" s="6"/>
      <c r="G9" s="8"/>
    </row>
    <row r="10" spans="1:27" ht="14.25">
      <c r="B10" s="71"/>
      <c r="C10" s="6"/>
      <c r="G10" s="8"/>
    </row>
    <row r="11" spans="1:27" ht="14.25">
      <c r="B11" s="71"/>
    </row>
    <row r="13" spans="1:27" ht="14.25">
      <c r="B13" s="7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12"/>
  <sheetViews>
    <sheetView workbookViewId="0">
      <pane ySplit="1" topLeftCell="A2" activePane="bottomLeft" state="frozen"/>
      <selection pane="bottomLeft" activeCell="B3" sqref="B3"/>
    </sheetView>
  </sheetViews>
  <sheetFormatPr defaultColWidth="12.5703125" defaultRowHeight="15.75" customHeight="1"/>
  <cols>
    <col min="1" max="1" width="5.140625" customWidth="1"/>
    <col min="2" max="2" width="67.5703125" customWidth="1"/>
    <col min="3" max="3" width="17" customWidth="1"/>
    <col min="4" max="4" width="20.5703125" hidden="1" customWidth="1"/>
    <col min="8" max="8" width="16.5703125" customWidth="1"/>
  </cols>
  <sheetData>
    <row r="1" spans="1:7" ht="12.75">
      <c r="A1" s="1" t="s">
        <v>39</v>
      </c>
      <c r="B1" s="1" t="s">
        <v>0</v>
      </c>
      <c r="C1" s="1" t="s">
        <v>1</v>
      </c>
      <c r="D1" s="1" t="s">
        <v>2</v>
      </c>
      <c r="E1" s="1" t="s">
        <v>3</v>
      </c>
      <c r="F1" s="1" t="s">
        <v>4</v>
      </c>
      <c r="G1" s="1" t="s">
        <v>5</v>
      </c>
    </row>
    <row r="2" spans="1:7" ht="28.5">
      <c r="A2" s="48">
        <v>46</v>
      </c>
      <c r="B2" s="65" t="s">
        <v>78</v>
      </c>
      <c r="C2" s="73">
        <v>60</v>
      </c>
      <c r="D2" s="49"/>
      <c r="E2" s="48">
        <v>4</v>
      </c>
      <c r="F2" s="50">
        <f t="shared" ref="F2:F6" si="0">E2*35</f>
        <v>140</v>
      </c>
      <c r="G2" s="5" t="s">
        <v>79</v>
      </c>
    </row>
    <row r="3" spans="1:7" ht="14.25">
      <c r="A3" s="2">
        <v>52</v>
      </c>
      <c r="B3" s="65" t="s">
        <v>80</v>
      </c>
      <c r="C3" s="2">
        <v>8</v>
      </c>
      <c r="D3" s="4"/>
      <c r="E3" s="2">
        <v>6</v>
      </c>
      <c r="F3" s="50">
        <f t="shared" si="0"/>
        <v>210</v>
      </c>
      <c r="G3" s="5" t="s">
        <v>41</v>
      </c>
    </row>
    <row r="4" spans="1:7" ht="28.5">
      <c r="A4" s="2">
        <v>59</v>
      </c>
      <c r="B4" s="65" t="s">
        <v>81</v>
      </c>
      <c r="C4" s="2">
        <v>4</v>
      </c>
      <c r="D4" s="4"/>
      <c r="E4" s="2">
        <v>4</v>
      </c>
      <c r="F4" s="50">
        <f t="shared" si="0"/>
        <v>140</v>
      </c>
      <c r="G4" s="2" t="s">
        <v>41</v>
      </c>
    </row>
    <row r="5" spans="1:7" ht="14.25">
      <c r="A5" s="2">
        <v>54</v>
      </c>
      <c r="B5" s="65" t="s">
        <v>82</v>
      </c>
      <c r="C5" s="2">
        <v>6</v>
      </c>
      <c r="D5" s="4"/>
      <c r="E5" s="2">
        <v>5</v>
      </c>
      <c r="F5" s="50">
        <f t="shared" si="0"/>
        <v>175</v>
      </c>
      <c r="G5" s="2" t="s">
        <v>41</v>
      </c>
    </row>
    <row r="6" spans="1:7" ht="28.5" customHeight="1">
      <c r="A6" s="2">
        <v>55</v>
      </c>
      <c r="B6" s="65" t="s">
        <v>83</v>
      </c>
      <c r="C6" s="2">
        <v>3</v>
      </c>
      <c r="D6" s="4"/>
      <c r="E6" s="2">
        <v>3</v>
      </c>
      <c r="F6" s="50">
        <f t="shared" si="0"/>
        <v>105</v>
      </c>
      <c r="G6" s="5" t="s">
        <v>41</v>
      </c>
    </row>
    <row r="7" spans="1:7" ht="14.25">
      <c r="B7" s="61"/>
      <c r="C7" s="6"/>
      <c r="E7" s="2" t="s">
        <v>38</v>
      </c>
      <c r="F7" s="4">
        <f>SUM(F2:F6)</f>
        <v>770</v>
      </c>
      <c r="G7" s="8"/>
    </row>
    <row r="8" spans="1:7" ht="14.25">
      <c r="B8" s="72"/>
      <c r="C8" s="6"/>
      <c r="G8" s="8"/>
    </row>
    <row r="9" spans="1:7" ht="14.25">
      <c r="B9" s="71"/>
      <c r="C9" s="6"/>
      <c r="G9" s="8"/>
    </row>
    <row r="10" spans="1:7" ht="14.25">
      <c r="B10" s="71"/>
    </row>
    <row r="12" spans="1:7" ht="14.25">
      <c r="B12" s="7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G8"/>
  <sheetViews>
    <sheetView workbookViewId="0">
      <pane ySplit="1" topLeftCell="A2" activePane="bottomLeft" state="frozen"/>
      <selection pane="bottomLeft" activeCell="B3" sqref="B3"/>
    </sheetView>
  </sheetViews>
  <sheetFormatPr defaultColWidth="12.5703125" defaultRowHeight="15.75" customHeight="1"/>
  <cols>
    <col min="1" max="1" width="5.140625" customWidth="1"/>
    <col min="2" max="2" width="67.5703125" customWidth="1"/>
    <col min="3" max="3" width="17" customWidth="1"/>
    <col min="4" max="4" width="20.5703125" hidden="1" customWidth="1"/>
    <col min="7" max="7" width="17.28515625" customWidth="1"/>
    <col min="8" max="8" width="16.5703125" customWidth="1"/>
  </cols>
  <sheetData>
    <row r="1" spans="1:7">
      <c r="A1" s="1" t="s">
        <v>39</v>
      </c>
      <c r="B1" s="1" t="s">
        <v>0</v>
      </c>
      <c r="C1" s="1" t="s">
        <v>1</v>
      </c>
      <c r="D1" s="1" t="s">
        <v>2</v>
      </c>
      <c r="E1" s="1" t="s">
        <v>3</v>
      </c>
      <c r="F1" s="1" t="s">
        <v>4</v>
      </c>
      <c r="G1" s="1" t="s">
        <v>5</v>
      </c>
    </row>
    <row r="2" spans="1:7">
      <c r="A2" s="2">
        <v>62</v>
      </c>
      <c r="B2" s="2" t="s">
        <v>84</v>
      </c>
      <c r="C2" s="74">
        <v>10</v>
      </c>
      <c r="D2" s="4"/>
      <c r="E2" s="2">
        <v>10</v>
      </c>
      <c r="F2" s="4">
        <f t="shared" ref="F2:F4" si="0">40*E2</f>
        <v>400</v>
      </c>
      <c r="G2" s="75" t="s">
        <v>85</v>
      </c>
    </row>
    <row r="3" spans="1:7">
      <c r="A3" s="2"/>
      <c r="B3" s="2" t="s">
        <v>86</v>
      </c>
      <c r="C3" s="4"/>
      <c r="D3" s="4"/>
      <c r="E3" s="2">
        <v>10</v>
      </c>
      <c r="F3" s="4">
        <f t="shared" si="0"/>
        <v>400</v>
      </c>
      <c r="G3" s="5" t="s">
        <v>41</v>
      </c>
    </row>
    <row r="4" spans="1:7">
      <c r="A4" s="2"/>
      <c r="B4" s="2" t="s">
        <v>87</v>
      </c>
      <c r="C4" s="2"/>
      <c r="D4" s="4"/>
      <c r="E4" s="2">
        <v>14</v>
      </c>
      <c r="F4" s="4">
        <f t="shared" si="0"/>
        <v>560</v>
      </c>
      <c r="G4" s="2" t="s">
        <v>88</v>
      </c>
    </row>
    <row r="5" spans="1:7">
      <c r="B5" s="71"/>
      <c r="C5" s="6"/>
      <c r="E5" s="2" t="s">
        <v>38</v>
      </c>
      <c r="F5" s="4">
        <f>SUM(F2:F4)</f>
        <v>1360</v>
      </c>
      <c r="G5" s="8"/>
    </row>
    <row r="6" spans="1:7">
      <c r="B6" s="71"/>
    </row>
    <row r="8" spans="1:7">
      <c r="B8" s="7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39"/>
  <sheetViews>
    <sheetView workbookViewId="0">
      <pane ySplit="1" topLeftCell="A2" activePane="bottomLeft" state="frozen"/>
      <selection pane="bottomLeft" activeCell="B3" sqref="B3"/>
    </sheetView>
  </sheetViews>
  <sheetFormatPr defaultColWidth="12.5703125" defaultRowHeight="15.75" customHeight="1"/>
  <cols>
    <col min="1" max="1" width="5.140625" customWidth="1"/>
    <col min="2" max="2" width="67.5703125" customWidth="1"/>
    <col min="3" max="3" width="17" customWidth="1"/>
    <col min="6" max="6" width="17.28515625" customWidth="1"/>
    <col min="7" max="7" width="16.5703125" customWidth="1"/>
  </cols>
  <sheetData>
    <row r="1" spans="1:7">
      <c r="A1" s="1" t="s">
        <v>39</v>
      </c>
      <c r="B1" s="1" t="s">
        <v>0</v>
      </c>
      <c r="C1" s="1" t="s">
        <v>1</v>
      </c>
      <c r="D1" s="1" t="s">
        <v>3</v>
      </c>
      <c r="E1" s="1" t="s">
        <v>4</v>
      </c>
      <c r="F1" s="1" t="s">
        <v>5</v>
      </c>
    </row>
    <row r="2" spans="1:7">
      <c r="A2" s="2">
        <v>1</v>
      </c>
      <c r="B2" s="51" t="s">
        <v>89</v>
      </c>
      <c r="C2" s="4"/>
      <c r="D2" s="2">
        <v>7</v>
      </c>
      <c r="E2" s="50">
        <f t="shared" ref="E2:E21" si="0">35*D2</f>
        <v>245</v>
      </c>
      <c r="F2" s="5" t="s">
        <v>41</v>
      </c>
      <c r="G2" s="9"/>
    </row>
    <row r="3" spans="1:7">
      <c r="A3" s="2">
        <v>2</v>
      </c>
      <c r="B3" s="51" t="s">
        <v>90</v>
      </c>
      <c r="C3" s="4"/>
      <c r="D3" s="2">
        <v>2</v>
      </c>
      <c r="E3" s="50">
        <f t="shared" si="0"/>
        <v>70</v>
      </c>
      <c r="F3" s="5" t="s">
        <v>41</v>
      </c>
    </row>
    <row r="4" spans="1:7">
      <c r="A4" s="2">
        <v>3</v>
      </c>
      <c r="B4" s="52" t="s">
        <v>91</v>
      </c>
      <c r="C4" s="4"/>
      <c r="D4" s="2">
        <v>5</v>
      </c>
      <c r="E4" s="50">
        <f t="shared" si="0"/>
        <v>175</v>
      </c>
      <c r="F4" s="5" t="s">
        <v>41</v>
      </c>
    </row>
    <row r="5" spans="1:7">
      <c r="A5" s="2">
        <v>4</v>
      </c>
      <c r="B5" s="52" t="s">
        <v>92</v>
      </c>
      <c r="C5" s="4"/>
      <c r="D5" s="2">
        <v>6</v>
      </c>
      <c r="E5" s="50">
        <f t="shared" si="0"/>
        <v>210</v>
      </c>
      <c r="F5" s="5" t="s">
        <v>41</v>
      </c>
    </row>
    <row r="6" spans="1:7">
      <c r="A6" s="2">
        <v>5</v>
      </c>
      <c r="B6" s="51" t="s">
        <v>93</v>
      </c>
      <c r="C6" s="4"/>
      <c r="D6" s="2">
        <v>1</v>
      </c>
      <c r="E6" s="50">
        <f t="shared" si="0"/>
        <v>35</v>
      </c>
      <c r="F6" s="5" t="s">
        <v>41</v>
      </c>
    </row>
    <row r="7" spans="1:7">
      <c r="A7" s="2">
        <v>6</v>
      </c>
      <c r="B7" s="52" t="s">
        <v>94</v>
      </c>
      <c r="C7" s="4"/>
      <c r="D7" s="2">
        <v>3</v>
      </c>
      <c r="E7" s="50">
        <f t="shared" si="0"/>
        <v>105</v>
      </c>
      <c r="F7" s="5" t="s">
        <v>41</v>
      </c>
    </row>
    <row r="8" spans="1:7">
      <c r="A8" s="2">
        <v>7</v>
      </c>
      <c r="B8" s="52" t="s">
        <v>95</v>
      </c>
      <c r="C8" s="4"/>
      <c r="D8" s="2">
        <v>11</v>
      </c>
      <c r="E8" s="50">
        <f t="shared" si="0"/>
        <v>385</v>
      </c>
      <c r="F8" s="5" t="s">
        <v>41</v>
      </c>
    </row>
    <row r="9" spans="1:7">
      <c r="A9" s="2">
        <v>8</v>
      </c>
      <c r="B9" s="52" t="s">
        <v>96</v>
      </c>
      <c r="C9" s="4"/>
      <c r="D9" s="2">
        <v>20</v>
      </c>
      <c r="E9" s="50">
        <f t="shared" si="0"/>
        <v>700</v>
      </c>
      <c r="F9" s="5" t="s">
        <v>41</v>
      </c>
    </row>
    <row r="10" spans="1:7">
      <c r="A10" s="2">
        <v>9</v>
      </c>
      <c r="B10" s="52" t="s">
        <v>97</v>
      </c>
      <c r="C10" s="4"/>
      <c r="D10" s="2">
        <v>5</v>
      </c>
      <c r="E10" s="50">
        <f t="shared" si="0"/>
        <v>175</v>
      </c>
      <c r="F10" s="5" t="s">
        <v>41</v>
      </c>
    </row>
    <row r="11" spans="1:7">
      <c r="A11" s="2">
        <v>10</v>
      </c>
      <c r="B11" s="52" t="s">
        <v>98</v>
      </c>
      <c r="C11" s="4"/>
      <c r="D11" s="2">
        <v>8</v>
      </c>
      <c r="E11" s="50">
        <f t="shared" si="0"/>
        <v>280</v>
      </c>
      <c r="F11" s="5" t="s">
        <v>41</v>
      </c>
    </row>
    <row r="12" spans="1:7">
      <c r="A12" s="2">
        <v>11</v>
      </c>
      <c r="B12" s="52" t="s">
        <v>99</v>
      </c>
      <c r="C12" s="4"/>
      <c r="D12" s="2">
        <v>10</v>
      </c>
      <c r="E12" s="50">
        <f t="shared" si="0"/>
        <v>350</v>
      </c>
      <c r="F12" s="5" t="s">
        <v>41</v>
      </c>
    </row>
    <row r="13" spans="1:7">
      <c r="A13" s="2">
        <v>12</v>
      </c>
      <c r="B13" s="52" t="s">
        <v>100</v>
      </c>
      <c r="C13" s="4"/>
      <c r="D13" s="2">
        <v>13</v>
      </c>
      <c r="E13" s="50">
        <f t="shared" si="0"/>
        <v>455</v>
      </c>
      <c r="F13" s="5" t="s">
        <v>41</v>
      </c>
    </row>
    <row r="14" spans="1:7">
      <c r="A14" s="2">
        <v>13</v>
      </c>
      <c r="B14" s="52" t="s">
        <v>101</v>
      </c>
      <c r="C14" s="4"/>
      <c r="D14" s="2">
        <v>10</v>
      </c>
      <c r="E14" s="50">
        <f t="shared" si="0"/>
        <v>350</v>
      </c>
      <c r="F14" s="5" t="s">
        <v>41</v>
      </c>
    </row>
    <row r="15" spans="1:7">
      <c r="A15" s="2">
        <v>14</v>
      </c>
      <c r="B15" s="52" t="s">
        <v>102</v>
      </c>
      <c r="C15" s="4"/>
      <c r="D15" s="2">
        <v>11</v>
      </c>
      <c r="E15" s="50">
        <f t="shared" si="0"/>
        <v>385</v>
      </c>
      <c r="F15" s="5" t="s">
        <v>41</v>
      </c>
    </row>
    <row r="16" spans="1:7">
      <c r="A16" s="2">
        <v>15</v>
      </c>
      <c r="B16" s="52" t="s">
        <v>103</v>
      </c>
      <c r="C16" s="4"/>
      <c r="D16" s="2">
        <v>13</v>
      </c>
      <c r="E16" s="50">
        <f t="shared" si="0"/>
        <v>455</v>
      </c>
      <c r="F16" s="5" t="s">
        <v>41</v>
      </c>
    </row>
    <row r="17" spans="1:26">
      <c r="A17" s="2">
        <v>16</v>
      </c>
      <c r="B17" s="52" t="s">
        <v>104</v>
      </c>
      <c r="C17" s="4"/>
      <c r="D17" s="2">
        <v>12</v>
      </c>
      <c r="E17" s="50">
        <f t="shared" si="0"/>
        <v>420</v>
      </c>
      <c r="F17" s="5" t="s">
        <v>41</v>
      </c>
    </row>
    <row r="18" spans="1:26">
      <c r="A18" s="2">
        <v>17</v>
      </c>
      <c r="B18" s="52" t="s">
        <v>105</v>
      </c>
      <c r="C18" s="4"/>
      <c r="D18" s="2">
        <v>10</v>
      </c>
      <c r="E18" s="50">
        <f t="shared" si="0"/>
        <v>350</v>
      </c>
      <c r="F18" s="5" t="s">
        <v>41</v>
      </c>
    </row>
    <row r="19" spans="1:26">
      <c r="A19" s="2">
        <v>18</v>
      </c>
      <c r="B19" s="52" t="s">
        <v>106</v>
      </c>
      <c r="C19" s="4"/>
      <c r="D19" s="2">
        <v>11</v>
      </c>
      <c r="E19" s="50">
        <f t="shared" si="0"/>
        <v>385</v>
      </c>
      <c r="F19" s="5" t="s">
        <v>41</v>
      </c>
    </row>
    <row r="20" spans="1:26">
      <c r="A20" s="2">
        <v>19</v>
      </c>
      <c r="B20" s="52" t="s">
        <v>107</v>
      </c>
      <c r="C20" s="4"/>
      <c r="D20" s="2">
        <v>10</v>
      </c>
      <c r="E20" s="50">
        <f t="shared" si="0"/>
        <v>350</v>
      </c>
      <c r="F20" s="5" t="s">
        <v>41</v>
      </c>
    </row>
    <row r="21" spans="1:26">
      <c r="A21" s="2">
        <v>20</v>
      </c>
      <c r="B21" s="52" t="s">
        <v>108</v>
      </c>
      <c r="C21" s="4"/>
      <c r="D21" s="2">
        <v>7</v>
      </c>
      <c r="E21" s="50">
        <f t="shared" si="0"/>
        <v>245</v>
      </c>
      <c r="F21" s="5" t="s">
        <v>41</v>
      </c>
    </row>
    <row r="22" spans="1:26">
      <c r="C22" s="2" t="s">
        <v>38</v>
      </c>
      <c r="D22" s="2">
        <f t="shared" ref="D22:E22" si="1">SUM(D2:D21)</f>
        <v>175</v>
      </c>
      <c r="E22" s="4">
        <f t="shared" si="1"/>
        <v>6125</v>
      </c>
    </row>
    <row r="23" spans="1:26">
      <c r="C23" s="76" t="s">
        <v>109</v>
      </c>
      <c r="D23" s="76">
        <v>64</v>
      </c>
      <c r="E23" s="77">
        <f>D23*35</f>
        <v>2240</v>
      </c>
    </row>
    <row r="26" spans="1:26">
      <c r="A26" s="494" t="s">
        <v>110</v>
      </c>
      <c r="B26" s="475"/>
      <c r="C26" s="475"/>
      <c r="D26" s="475"/>
      <c r="E26" s="475"/>
      <c r="F26" s="476"/>
    </row>
    <row r="27" spans="1:26">
      <c r="A27" s="1" t="s">
        <v>39</v>
      </c>
      <c r="B27" s="78" t="s">
        <v>0</v>
      </c>
      <c r="C27" s="1" t="s">
        <v>1</v>
      </c>
      <c r="D27" s="1" t="s">
        <v>3</v>
      </c>
      <c r="E27" s="1" t="s">
        <v>4</v>
      </c>
      <c r="F27" s="1" t="s">
        <v>5</v>
      </c>
    </row>
    <row r="28" spans="1:26">
      <c r="A28" s="79">
        <v>21</v>
      </c>
      <c r="B28" s="80" t="s">
        <v>111</v>
      </c>
      <c r="C28" s="81"/>
      <c r="D28" s="79">
        <v>39</v>
      </c>
      <c r="E28" s="82">
        <f t="shared" ref="E28:E38" si="2">35*D28</f>
        <v>1365</v>
      </c>
      <c r="F28" s="83" t="s">
        <v>41</v>
      </c>
      <c r="G28" s="84"/>
      <c r="H28" s="84"/>
      <c r="I28" s="84"/>
      <c r="J28" s="84"/>
      <c r="K28" s="84"/>
      <c r="L28" s="84"/>
      <c r="M28" s="84"/>
      <c r="N28" s="84"/>
      <c r="O28" s="84"/>
      <c r="P28" s="84"/>
      <c r="Q28" s="84"/>
      <c r="R28" s="84"/>
      <c r="S28" s="84"/>
      <c r="T28" s="84"/>
      <c r="U28" s="84"/>
      <c r="V28" s="84"/>
      <c r="W28" s="84"/>
      <c r="X28" s="84"/>
      <c r="Y28" s="84"/>
      <c r="Z28" s="84"/>
    </row>
    <row r="29" spans="1:26">
      <c r="A29" s="2">
        <v>22</v>
      </c>
      <c r="B29" s="80" t="s">
        <v>112</v>
      </c>
      <c r="C29" s="4"/>
      <c r="D29" s="2">
        <v>1</v>
      </c>
      <c r="E29" s="82">
        <f t="shared" si="2"/>
        <v>35</v>
      </c>
      <c r="F29" s="83" t="s">
        <v>41</v>
      </c>
    </row>
    <row r="30" spans="1:26">
      <c r="A30" s="79">
        <v>23</v>
      </c>
      <c r="B30" s="80" t="s">
        <v>113</v>
      </c>
      <c r="C30" s="4"/>
      <c r="D30" s="2">
        <v>2</v>
      </c>
      <c r="E30" s="82">
        <f t="shared" si="2"/>
        <v>70</v>
      </c>
      <c r="F30" s="83" t="s">
        <v>41</v>
      </c>
    </row>
    <row r="31" spans="1:26">
      <c r="A31" s="2">
        <v>24</v>
      </c>
      <c r="B31" s="80" t="s">
        <v>114</v>
      </c>
      <c r="C31" s="4"/>
      <c r="D31" s="2">
        <v>16</v>
      </c>
      <c r="E31" s="82">
        <f t="shared" si="2"/>
        <v>560</v>
      </c>
      <c r="F31" s="83" t="s">
        <v>41</v>
      </c>
    </row>
    <row r="32" spans="1:26">
      <c r="A32" s="79">
        <v>25</v>
      </c>
      <c r="B32" s="80" t="s">
        <v>115</v>
      </c>
      <c r="C32" s="4"/>
      <c r="D32" s="2">
        <v>8</v>
      </c>
      <c r="E32" s="82">
        <f t="shared" si="2"/>
        <v>280</v>
      </c>
      <c r="F32" s="83" t="s">
        <v>41</v>
      </c>
    </row>
    <row r="33" spans="1:6">
      <c r="A33" s="2">
        <v>26</v>
      </c>
      <c r="B33" s="80" t="s">
        <v>116</v>
      </c>
      <c r="C33" s="4"/>
      <c r="D33" s="2">
        <v>7</v>
      </c>
      <c r="E33" s="82">
        <f t="shared" si="2"/>
        <v>245</v>
      </c>
      <c r="F33" s="83" t="s">
        <v>41</v>
      </c>
    </row>
    <row r="34" spans="1:6">
      <c r="A34" s="79">
        <v>27</v>
      </c>
      <c r="B34" s="80" t="s">
        <v>117</v>
      </c>
      <c r="C34" s="4"/>
      <c r="D34" s="2">
        <v>2</v>
      </c>
      <c r="E34" s="82">
        <f t="shared" si="2"/>
        <v>70</v>
      </c>
      <c r="F34" s="83" t="s">
        <v>41</v>
      </c>
    </row>
    <row r="35" spans="1:6">
      <c r="A35" s="2">
        <v>28</v>
      </c>
      <c r="B35" s="80" t="s">
        <v>118</v>
      </c>
      <c r="C35" s="4"/>
      <c r="D35" s="2">
        <v>6</v>
      </c>
      <c r="E35" s="82">
        <f t="shared" si="2"/>
        <v>210</v>
      </c>
      <c r="F35" s="83" t="s">
        <v>41</v>
      </c>
    </row>
    <row r="36" spans="1:6">
      <c r="A36" s="79">
        <v>29</v>
      </c>
      <c r="B36" s="80" t="s">
        <v>119</v>
      </c>
      <c r="C36" s="4"/>
      <c r="D36" s="2">
        <v>14</v>
      </c>
      <c r="E36" s="82">
        <f t="shared" si="2"/>
        <v>490</v>
      </c>
      <c r="F36" s="83" t="s">
        <v>41</v>
      </c>
    </row>
    <row r="37" spans="1:6">
      <c r="A37" s="2">
        <v>30</v>
      </c>
      <c r="B37" s="80" t="s">
        <v>120</v>
      </c>
      <c r="C37" s="4"/>
      <c r="D37" s="2">
        <v>1</v>
      </c>
      <c r="E37" s="82">
        <f t="shared" si="2"/>
        <v>35</v>
      </c>
      <c r="F37" s="83" t="s">
        <v>41</v>
      </c>
    </row>
    <row r="38" spans="1:6">
      <c r="A38" s="79">
        <v>31</v>
      </c>
      <c r="B38" s="80" t="s">
        <v>121</v>
      </c>
      <c r="C38" s="4"/>
      <c r="D38" s="2">
        <v>8</v>
      </c>
      <c r="E38" s="82">
        <f t="shared" si="2"/>
        <v>280</v>
      </c>
      <c r="F38" s="83" t="s">
        <v>41</v>
      </c>
    </row>
    <row r="39" spans="1:6">
      <c r="B39" s="85"/>
      <c r="D39" s="76" t="s">
        <v>38</v>
      </c>
      <c r="E39" s="77">
        <f>SUM(E28:E38)</f>
        <v>3640</v>
      </c>
    </row>
  </sheetData>
  <mergeCells count="1">
    <mergeCell ref="A26:F2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G8"/>
  <sheetViews>
    <sheetView workbookViewId="0">
      <pane ySplit="1" topLeftCell="A2" activePane="bottomLeft" state="frozen"/>
      <selection pane="bottomLeft" activeCell="B3" sqref="B3"/>
    </sheetView>
  </sheetViews>
  <sheetFormatPr defaultColWidth="12.5703125" defaultRowHeight="15.75" customHeight="1"/>
  <cols>
    <col min="1" max="1" width="5.140625" customWidth="1"/>
    <col min="2" max="2" width="67.5703125" customWidth="1"/>
    <col min="3" max="3" width="17" customWidth="1"/>
    <col min="6" max="6" width="17.28515625" customWidth="1"/>
    <col min="7" max="7" width="16.5703125" customWidth="1"/>
  </cols>
  <sheetData>
    <row r="1" spans="1:7">
      <c r="A1" s="1" t="s">
        <v>39</v>
      </c>
      <c r="B1" s="1" t="s">
        <v>0</v>
      </c>
      <c r="C1" s="1" t="s">
        <v>1</v>
      </c>
      <c r="D1" s="1" t="s">
        <v>3</v>
      </c>
      <c r="E1" s="1" t="s">
        <v>4</v>
      </c>
      <c r="F1" s="1" t="s">
        <v>5</v>
      </c>
    </row>
    <row r="2" spans="1:7">
      <c r="A2" s="2">
        <v>32</v>
      </c>
      <c r="B2" s="5" t="s">
        <v>122</v>
      </c>
      <c r="C2" s="4"/>
      <c r="D2" s="2">
        <v>12</v>
      </c>
      <c r="E2" s="50">
        <f t="shared" ref="E2:E7" si="0">35*D2</f>
        <v>420</v>
      </c>
      <c r="F2" s="5" t="s">
        <v>41</v>
      </c>
      <c r="G2" s="9"/>
    </row>
    <row r="3" spans="1:7">
      <c r="A3" s="2">
        <v>33</v>
      </c>
      <c r="B3" s="5" t="s">
        <v>123</v>
      </c>
      <c r="C3" s="4"/>
      <c r="D3" s="2">
        <v>3</v>
      </c>
      <c r="E3" s="50">
        <f t="shared" si="0"/>
        <v>105</v>
      </c>
      <c r="F3" s="5" t="s">
        <v>41</v>
      </c>
    </row>
    <row r="4" spans="1:7">
      <c r="A4" s="2">
        <v>34</v>
      </c>
      <c r="B4" s="2" t="s">
        <v>124</v>
      </c>
      <c r="C4" s="4"/>
      <c r="D4" s="2">
        <v>10</v>
      </c>
      <c r="E4" s="50">
        <f t="shared" si="0"/>
        <v>350</v>
      </c>
      <c r="F4" s="2" t="s">
        <v>41</v>
      </c>
    </row>
    <row r="5" spans="1:7">
      <c r="A5" s="2">
        <v>35</v>
      </c>
      <c r="B5" s="2" t="s">
        <v>125</v>
      </c>
      <c r="C5" s="4"/>
      <c r="D5" s="4"/>
      <c r="E5" s="50">
        <f t="shared" si="0"/>
        <v>0</v>
      </c>
      <c r="F5" s="2" t="s">
        <v>126</v>
      </c>
    </row>
    <row r="6" spans="1:7">
      <c r="A6" s="2">
        <v>36</v>
      </c>
      <c r="B6" s="2" t="s">
        <v>127</v>
      </c>
      <c r="C6" s="4"/>
      <c r="D6" s="2">
        <v>8</v>
      </c>
      <c r="E6" s="50">
        <f t="shared" si="0"/>
        <v>280</v>
      </c>
      <c r="F6" s="2" t="s">
        <v>41</v>
      </c>
    </row>
    <row r="7" spans="1:7">
      <c r="A7" s="2">
        <v>37</v>
      </c>
      <c r="B7" s="3" t="s">
        <v>6</v>
      </c>
      <c r="C7" s="2">
        <v>56</v>
      </c>
      <c r="D7" s="2">
        <v>24</v>
      </c>
      <c r="E7" s="50">
        <f t="shared" si="0"/>
        <v>840</v>
      </c>
      <c r="F7" s="2" t="s">
        <v>41</v>
      </c>
    </row>
    <row r="8" spans="1:7">
      <c r="D8" s="2" t="s">
        <v>53</v>
      </c>
      <c r="E8" s="4">
        <f>SUM(E2:E7)</f>
        <v>1995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F7"/>
  <sheetViews>
    <sheetView workbookViewId="0">
      <pane ySplit="1" topLeftCell="A2" activePane="bottomLeft" state="frozen"/>
      <selection pane="bottomLeft" activeCell="B3" sqref="B3"/>
    </sheetView>
  </sheetViews>
  <sheetFormatPr defaultColWidth="12.5703125" defaultRowHeight="15.75" customHeight="1"/>
  <cols>
    <col min="1" max="1" width="5.140625" customWidth="1"/>
    <col min="2" max="2" width="67.5703125" customWidth="1"/>
    <col min="3" max="3" width="17" customWidth="1"/>
    <col min="6" max="6" width="17.28515625" customWidth="1"/>
    <col min="7" max="7" width="16.5703125" customWidth="1"/>
  </cols>
  <sheetData>
    <row r="1" spans="1:6">
      <c r="A1" s="1" t="s">
        <v>39</v>
      </c>
      <c r="B1" s="1" t="s">
        <v>0</v>
      </c>
      <c r="C1" s="1" t="s">
        <v>1</v>
      </c>
      <c r="D1" s="1" t="s">
        <v>3</v>
      </c>
      <c r="E1" s="1" t="s">
        <v>4</v>
      </c>
      <c r="F1" s="1" t="s">
        <v>5</v>
      </c>
    </row>
    <row r="2" spans="1:6">
      <c r="A2" s="2">
        <v>35</v>
      </c>
      <c r="B2" s="2" t="s">
        <v>125</v>
      </c>
      <c r="C2" s="4"/>
      <c r="D2" s="2">
        <v>11</v>
      </c>
      <c r="E2" s="50">
        <f t="shared" ref="E2:E6" si="0">35*D2</f>
        <v>385</v>
      </c>
      <c r="F2" s="2" t="s">
        <v>41</v>
      </c>
    </row>
    <row r="3" spans="1:6">
      <c r="A3" s="2">
        <v>41</v>
      </c>
      <c r="B3" s="3" t="s">
        <v>7</v>
      </c>
      <c r="C3" s="2">
        <v>16</v>
      </c>
      <c r="D3" s="2">
        <v>14</v>
      </c>
      <c r="E3" s="50">
        <f t="shared" si="0"/>
        <v>490</v>
      </c>
      <c r="F3" s="2" t="s">
        <v>41</v>
      </c>
    </row>
    <row r="4" spans="1:6">
      <c r="A4" s="2">
        <v>47</v>
      </c>
      <c r="B4" s="2" t="s">
        <v>8</v>
      </c>
      <c r="C4" s="2"/>
      <c r="D4" s="2">
        <v>6</v>
      </c>
      <c r="E4" s="50">
        <f t="shared" si="0"/>
        <v>210</v>
      </c>
      <c r="F4" s="2" t="s">
        <v>128</v>
      </c>
    </row>
    <row r="5" spans="1:6">
      <c r="A5" s="2">
        <v>38</v>
      </c>
      <c r="B5" s="3" t="s">
        <v>9</v>
      </c>
      <c r="C5" s="2">
        <v>16</v>
      </c>
      <c r="D5" s="2">
        <v>16</v>
      </c>
      <c r="E5" s="50">
        <f t="shared" si="0"/>
        <v>560</v>
      </c>
      <c r="F5" s="2" t="s">
        <v>41</v>
      </c>
    </row>
    <row r="6" spans="1:6">
      <c r="A6" s="2">
        <v>43</v>
      </c>
      <c r="B6" s="3" t="s">
        <v>10</v>
      </c>
      <c r="C6" s="2">
        <v>18</v>
      </c>
      <c r="D6" s="2">
        <v>18</v>
      </c>
      <c r="E6" s="50">
        <f t="shared" si="0"/>
        <v>630</v>
      </c>
      <c r="F6" s="2" t="s">
        <v>41</v>
      </c>
    </row>
    <row r="7" spans="1:6">
      <c r="D7" s="2" t="s">
        <v>38</v>
      </c>
      <c r="E7" s="4">
        <f>SUM(E2:E6)</f>
        <v>2275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F5"/>
  <sheetViews>
    <sheetView workbookViewId="0">
      <pane ySplit="1" topLeftCell="A2" activePane="bottomLeft" state="frozen"/>
      <selection pane="bottomLeft" activeCell="B3" sqref="B3"/>
    </sheetView>
  </sheetViews>
  <sheetFormatPr defaultColWidth="12.5703125" defaultRowHeight="15.75" customHeight="1"/>
  <cols>
    <col min="1" max="1" width="5.140625" customWidth="1"/>
    <col min="2" max="2" width="67.5703125" customWidth="1"/>
    <col min="3" max="3" width="17" customWidth="1"/>
    <col min="6" max="6" width="17.28515625" customWidth="1"/>
    <col min="7" max="7" width="16.5703125" customWidth="1"/>
  </cols>
  <sheetData>
    <row r="1" spans="1:6">
      <c r="A1" s="1" t="s">
        <v>39</v>
      </c>
      <c r="B1" s="1" t="s">
        <v>0</v>
      </c>
      <c r="C1" s="1" t="s">
        <v>1</v>
      </c>
      <c r="D1" s="1" t="s">
        <v>3</v>
      </c>
      <c r="E1" s="1" t="s">
        <v>4</v>
      </c>
      <c r="F1" s="1" t="s">
        <v>5</v>
      </c>
    </row>
    <row r="2" spans="1:6">
      <c r="A2" s="2">
        <v>47</v>
      </c>
      <c r="B2" s="2" t="s">
        <v>8</v>
      </c>
      <c r="C2" s="2"/>
      <c r="D2" s="2">
        <v>21</v>
      </c>
      <c r="E2" s="50">
        <f>35*D2</f>
        <v>735</v>
      </c>
      <c r="F2" s="2" t="s">
        <v>41</v>
      </c>
    </row>
    <row r="3" spans="1:6">
      <c r="A3" s="2">
        <v>48</v>
      </c>
      <c r="B3" s="2" t="s">
        <v>129</v>
      </c>
      <c r="C3" s="4"/>
      <c r="D3" s="2">
        <v>6</v>
      </c>
      <c r="E3" s="4">
        <f t="shared" ref="E3:E4" si="0">D3*35</f>
        <v>210</v>
      </c>
      <c r="F3" s="2" t="s">
        <v>41</v>
      </c>
    </row>
    <row r="4" spans="1:6">
      <c r="A4" s="2">
        <v>49</v>
      </c>
      <c r="B4" s="2" t="s">
        <v>130</v>
      </c>
      <c r="C4" s="4"/>
      <c r="D4" s="2">
        <v>12</v>
      </c>
      <c r="E4" s="4">
        <f t="shared" si="0"/>
        <v>420</v>
      </c>
      <c r="F4" s="2" t="s">
        <v>41</v>
      </c>
    </row>
    <row r="5" spans="1:6">
      <c r="D5" s="2" t="s">
        <v>53</v>
      </c>
      <c r="E5" s="4">
        <f>SUM(E2:E4)</f>
        <v>1365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F9"/>
  <sheetViews>
    <sheetView workbookViewId="0">
      <pane ySplit="1" topLeftCell="A2" activePane="bottomLeft" state="frozen"/>
      <selection pane="bottomLeft" activeCell="B3" sqref="B3"/>
    </sheetView>
  </sheetViews>
  <sheetFormatPr defaultColWidth="12.5703125" defaultRowHeight="15.75" customHeight="1"/>
  <cols>
    <col min="1" max="1" width="5.140625" customWidth="1"/>
    <col min="2" max="2" width="67.5703125" customWidth="1"/>
    <col min="3" max="3" width="17" customWidth="1"/>
    <col min="6" max="6" width="17.28515625" customWidth="1"/>
    <col min="7" max="7" width="16.5703125" customWidth="1"/>
  </cols>
  <sheetData>
    <row r="1" spans="1:6">
      <c r="A1" s="1" t="s">
        <v>39</v>
      </c>
      <c r="B1" s="1" t="s">
        <v>0</v>
      </c>
      <c r="C1" s="1" t="s">
        <v>1</v>
      </c>
      <c r="D1" s="1" t="s">
        <v>3</v>
      </c>
      <c r="E1" s="1" t="s">
        <v>4</v>
      </c>
      <c r="F1" s="1" t="s">
        <v>5</v>
      </c>
    </row>
    <row r="2" spans="1:6">
      <c r="A2" s="2">
        <v>50</v>
      </c>
      <c r="B2" s="2" t="s">
        <v>131</v>
      </c>
      <c r="C2" s="2"/>
      <c r="D2" s="2">
        <v>12</v>
      </c>
      <c r="E2" s="50">
        <f t="shared" ref="E2:E8" si="0">35*D2</f>
        <v>420</v>
      </c>
      <c r="F2" s="2" t="s">
        <v>41</v>
      </c>
    </row>
    <row r="3" spans="1:6">
      <c r="A3" s="2">
        <v>51</v>
      </c>
      <c r="B3" s="2" t="s">
        <v>132</v>
      </c>
      <c r="C3" s="4"/>
      <c r="D3" s="2">
        <v>15</v>
      </c>
      <c r="E3" s="50">
        <f t="shared" si="0"/>
        <v>525</v>
      </c>
      <c r="F3" s="2" t="s">
        <v>41</v>
      </c>
    </row>
    <row r="4" spans="1:6">
      <c r="A4" s="2">
        <v>52</v>
      </c>
      <c r="B4" s="2" t="s">
        <v>133</v>
      </c>
      <c r="C4" s="4"/>
      <c r="D4" s="2">
        <v>14</v>
      </c>
      <c r="E4" s="50">
        <f t="shared" si="0"/>
        <v>490</v>
      </c>
      <c r="F4" s="2" t="s">
        <v>41</v>
      </c>
    </row>
    <row r="5" spans="1:6">
      <c r="A5" s="2">
        <v>53</v>
      </c>
      <c r="B5" s="2" t="s">
        <v>134</v>
      </c>
      <c r="C5" s="4"/>
      <c r="D5" s="4"/>
      <c r="E5" s="50">
        <f t="shared" si="0"/>
        <v>0</v>
      </c>
      <c r="F5" s="2" t="s">
        <v>41</v>
      </c>
    </row>
    <row r="6" spans="1:6">
      <c r="A6" s="2">
        <v>54</v>
      </c>
      <c r="B6" s="3" t="s">
        <v>135</v>
      </c>
      <c r="C6" s="4"/>
      <c r="D6" s="2">
        <v>6</v>
      </c>
      <c r="E6" s="50">
        <f t="shared" si="0"/>
        <v>210</v>
      </c>
      <c r="F6" s="2" t="s">
        <v>41</v>
      </c>
    </row>
    <row r="7" spans="1:6">
      <c r="A7" s="2">
        <v>55</v>
      </c>
      <c r="B7" s="2" t="s">
        <v>136</v>
      </c>
      <c r="C7" s="4"/>
      <c r="D7" s="2">
        <v>4</v>
      </c>
      <c r="E7" s="50">
        <f t="shared" si="0"/>
        <v>140</v>
      </c>
      <c r="F7" s="2" t="s">
        <v>41</v>
      </c>
    </row>
    <row r="8" spans="1:6">
      <c r="A8" s="2">
        <v>56</v>
      </c>
      <c r="B8" s="2" t="s">
        <v>137</v>
      </c>
      <c r="C8" s="4"/>
      <c r="D8" s="2">
        <v>6</v>
      </c>
      <c r="E8" s="50">
        <f t="shared" si="0"/>
        <v>210</v>
      </c>
      <c r="F8" s="2" t="s">
        <v>41</v>
      </c>
    </row>
    <row r="9" spans="1:6">
      <c r="D9" s="2" t="s">
        <v>38</v>
      </c>
      <c r="E9" s="4">
        <f>SUM(E2:E8)</f>
        <v>1995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F14"/>
  <sheetViews>
    <sheetView workbookViewId="0">
      <pane ySplit="1" topLeftCell="A2" activePane="bottomLeft" state="frozen"/>
      <selection pane="bottomLeft" activeCell="B3" sqref="B3"/>
    </sheetView>
  </sheetViews>
  <sheetFormatPr defaultColWidth="12.5703125" defaultRowHeight="15.75" customHeight="1"/>
  <cols>
    <col min="1" max="1" width="5.140625" customWidth="1"/>
    <col min="2" max="2" width="67.5703125" customWidth="1"/>
    <col min="3" max="3" width="17" customWidth="1"/>
    <col min="6" max="6" width="17.28515625" customWidth="1"/>
    <col min="7" max="7" width="16.5703125" customWidth="1"/>
  </cols>
  <sheetData>
    <row r="1" spans="1:6">
      <c r="A1" s="1" t="s">
        <v>39</v>
      </c>
      <c r="B1" s="1" t="s">
        <v>0</v>
      </c>
      <c r="C1" s="1" t="s">
        <v>1</v>
      </c>
      <c r="D1" s="1" t="s">
        <v>3</v>
      </c>
      <c r="E1" s="1" t="s">
        <v>4</v>
      </c>
      <c r="F1" s="1" t="s">
        <v>5</v>
      </c>
    </row>
    <row r="2" spans="1:6">
      <c r="A2" s="2">
        <v>57</v>
      </c>
      <c r="B2" s="2" t="s">
        <v>138</v>
      </c>
      <c r="C2" s="2">
        <v>16</v>
      </c>
      <c r="D2" s="2">
        <v>14</v>
      </c>
      <c r="E2" s="50">
        <f t="shared" ref="E2:E13" si="0">35*D2</f>
        <v>490</v>
      </c>
      <c r="F2" s="2" t="s">
        <v>41</v>
      </c>
    </row>
    <row r="3" spans="1:6">
      <c r="A3" s="2">
        <v>58</v>
      </c>
      <c r="B3" s="3" t="s">
        <v>139</v>
      </c>
      <c r="C3" s="2">
        <v>9</v>
      </c>
      <c r="D3" s="2">
        <v>9</v>
      </c>
      <c r="E3" s="50">
        <f t="shared" si="0"/>
        <v>315</v>
      </c>
      <c r="F3" s="2" t="s">
        <v>41</v>
      </c>
    </row>
    <row r="4" spans="1:6">
      <c r="A4" s="2">
        <v>59</v>
      </c>
      <c r="B4" s="2" t="s">
        <v>140</v>
      </c>
      <c r="C4" s="2">
        <v>12</v>
      </c>
      <c r="D4" s="2">
        <v>12</v>
      </c>
      <c r="E4" s="50">
        <f t="shared" si="0"/>
        <v>420</v>
      </c>
      <c r="F4" s="2" t="s">
        <v>41</v>
      </c>
    </row>
    <row r="5" spans="1:6">
      <c r="A5" s="2">
        <v>61</v>
      </c>
      <c r="B5" s="2" t="s">
        <v>141</v>
      </c>
      <c r="C5" s="2">
        <v>8</v>
      </c>
      <c r="D5" s="2">
        <v>8</v>
      </c>
      <c r="E5" s="50">
        <f t="shared" si="0"/>
        <v>280</v>
      </c>
      <c r="F5" s="2" t="s">
        <v>41</v>
      </c>
    </row>
    <row r="6" spans="1:6">
      <c r="A6" s="2">
        <v>62</v>
      </c>
      <c r="B6" s="3" t="s">
        <v>142</v>
      </c>
      <c r="C6" s="2">
        <v>12</v>
      </c>
      <c r="D6" s="2">
        <v>12</v>
      </c>
      <c r="E6" s="50">
        <f t="shared" si="0"/>
        <v>420</v>
      </c>
      <c r="F6" s="2" t="s">
        <v>41</v>
      </c>
    </row>
    <row r="7" spans="1:6">
      <c r="A7" s="2">
        <v>63</v>
      </c>
      <c r="B7" s="3" t="s">
        <v>143</v>
      </c>
      <c r="C7" s="2">
        <v>6</v>
      </c>
      <c r="D7" s="2">
        <v>6</v>
      </c>
      <c r="E7" s="50">
        <f t="shared" si="0"/>
        <v>210</v>
      </c>
      <c r="F7" s="2" t="s">
        <v>41</v>
      </c>
    </row>
    <row r="8" spans="1:6">
      <c r="A8" s="2">
        <v>64</v>
      </c>
      <c r="B8" s="3" t="s">
        <v>144</v>
      </c>
      <c r="C8" s="2">
        <v>28</v>
      </c>
      <c r="D8" s="2">
        <v>12</v>
      </c>
      <c r="E8" s="50">
        <f t="shared" si="0"/>
        <v>420</v>
      </c>
      <c r="F8" s="2" t="s">
        <v>128</v>
      </c>
    </row>
    <row r="9" spans="1:6">
      <c r="A9" s="2">
        <v>65</v>
      </c>
      <c r="B9" s="2" t="s">
        <v>145</v>
      </c>
      <c r="C9" s="2"/>
      <c r="D9" s="2">
        <v>2</v>
      </c>
      <c r="E9" s="50">
        <f t="shared" si="0"/>
        <v>70</v>
      </c>
      <c r="F9" s="2" t="s">
        <v>41</v>
      </c>
    </row>
    <row r="10" spans="1:6">
      <c r="A10" s="2">
        <v>66</v>
      </c>
      <c r="B10" s="2" t="s">
        <v>146</v>
      </c>
      <c r="C10" s="2"/>
      <c r="D10" s="2">
        <v>14</v>
      </c>
      <c r="E10" s="50">
        <f t="shared" si="0"/>
        <v>490</v>
      </c>
      <c r="F10" s="2" t="s">
        <v>41</v>
      </c>
    </row>
    <row r="11" spans="1:6">
      <c r="A11" s="2">
        <v>67</v>
      </c>
      <c r="B11" s="2" t="s">
        <v>147</v>
      </c>
      <c r="C11" s="2"/>
      <c r="D11" s="2">
        <v>1</v>
      </c>
      <c r="E11" s="50">
        <f t="shared" si="0"/>
        <v>35</v>
      </c>
      <c r="F11" s="2" t="s">
        <v>41</v>
      </c>
    </row>
    <row r="12" spans="1:6">
      <c r="A12" s="2">
        <v>68</v>
      </c>
      <c r="B12" s="2" t="s">
        <v>148</v>
      </c>
      <c r="C12" s="2"/>
      <c r="D12" s="2">
        <v>6</v>
      </c>
      <c r="E12" s="50">
        <f t="shared" si="0"/>
        <v>210</v>
      </c>
      <c r="F12" s="2" t="s">
        <v>41</v>
      </c>
    </row>
    <row r="13" spans="1:6">
      <c r="A13" s="2">
        <v>69</v>
      </c>
      <c r="B13" s="2" t="s">
        <v>149</v>
      </c>
      <c r="C13" s="2"/>
      <c r="D13" s="2">
        <v>4</v>
      </c>
      <c r="E13" s="50">
        <f t="shared" si="0"/>
        <v>140</v>
      </c>
      <c r="F13" s="2" t="s">
        <v>41</v>
      </c>
    </row>
    <row r="14" spans="1:6">
      <c r="D14" s="76" t="s">
        <v>38</v>
      </c>
      <c r="E14" s="4">
        <f>SUM(E2:E13)</f>
        <v>3500</v>
      </c>
    </row>
  </sheetData>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F15"/>
  <sheetViews>
    <sheetView workbookViewId="0">
      <pane ySplit="1" topLeftCell="A2" activePane="bottomLeft" state="frozen"/>
      <selection pane="bottomLeft" activeCell="B3" sqref="B3"/>
    </sheetView>
  </sheetViews>
  <sheetFormatPr defaultColWidth="12.5703125" defaultRowHeight="15.75" customHeight="1"/>
  <cols>
    <col min="1" max="1" width="5.140625" customWidth="1"/>
    <col min="2" max="2" width="67.5703125" customWidth="1"/>
    <col min="3" max="3" width="17" customWidth="1"/>
    <col min="6" max="6" width="17.28515625" customWidth="1"/>
    <col min="7" max="7" width="16.5703125" customWidth="1"/>
  </cols>
  <sheetData>
    <row r="1" spans="1:6">
      <c r="A1" s="1" t="s">
        <v>39</v>
      </c>
      <c r="B1" s="1" t="s">
        <v>0</v>
      </c>
      <c r="C1" s="1" t="s">
        <v>1</v>
      </c>
      <c r="D1" s="1" t="s">
        <v>3</v>
      </c>
      <c r="E1" s="1" t="s">
        <v>4</v>
      </c>
      <c r="F1" s="1" t="s">
        <v>5</v>
      </c>
    </row>
    <row r="2" spans="1:6">
      <c r="A2" s="2">
        <v>64</v>
      </c>
      <c r="B2" s="3" t="s">
        <v>144</v>
      </c>
      <c r="C2" s="63" t="s">
        <v>150</v>
      </c>
      <c r="D2" s="2">
        <v>16</v>
      </c>
      <c r="E2" s="4">
        <f t="shared" ref="E2:E12" si="0">35*D2</f>
        <v>560</v>
      </c>
      <c r="F2" s="2" t="s">
        <v>41</v>
      </c>
    </row>
    <row r="3" spans="1:6">
      <c r="A3" s="2">
        <v>70</v>
      </c>
      <c r="B3" s="2" t="s">
        <v>151</v>
      </c>
      <c r="C3" s="2">
        <v>16</v>
      </c>
      <c r="D3" s="2">
        <v>16</v>
      </c>
      <c r="E3" s="4">
        <f t="shared" si="0"/>
        <v>560</v>
      </c>
      <c r="F3" s="2" t="s">
        <v>41</v>
      </c>
    </row>
    <row r="4" spans="1:6">
      <c r="A4" s="2">
        <v>71</v>
      </c>
      <c r="B4" s="2" t="s">
        <v>152</v>
      </c>
      <c r="C4" s="2">
        <v>16</v>
      </c>
      <c r="D4" s="2">
        <v>20</v>
      </c>
      <c r="E4" s="4">
        <f t="shared" si="0"/>
        <v>700</v>
      </c>
      <c r="F4" s="2" t="s">
        <v>41</v>
      </c>
    </row>
    <row r="5" spans="1:6">
      <c r="A5" s="2">
        <v>79</v>
      </c>
      <c r="B5" s="2" t="s">
        <v>153</v>
      </c>
      <c r="C5" s="2">
        <v>4</v>
      </c>
      <c r="D5" s="2"/>
      <c r="E5" s="4">
        <f t="shared" si="0"/>
        <v>0</v>
      </c>
      <c r="F5" s="2" t="s">
        <v>72</v>
      </c>
    </row>
    <row r="6" spans="1:6">
      <c r="A6" s="2">
        <v>80</v>
      </c>
      <c r="B6" s="2" t="s">
        <v>154</v>
      </c>
      <c r="C6" s="2">
        <v>4</v>
      </c>
      <c r="D6" s="2">
        <v>4</v>
      </c>
      <c r="E6" s="4">
        <f t="shared" si="0"/>
        <v>140</v>
      </c>
      <c r="F6" s="2" t="s">
        <v>41</v>
      </c>
    </row>
    <row r="7" spans="1:6">
      <c r="A7" s="86">
        <v>81</v>
      </c>
      <c r="B7" s="86" t="s">
        <v>155</v>
      </c>
      <c r="C7" s="86">
        <v>3</v>
      </c>
      <c r="D7" s="86">
        <v>3</v>
      </c>
      <c r="E7" s="4">
        <f t="shared" si="0"/>
        <v>105</v>
      </c>
      <c r="F7" s="2" t="s">
        <v>41</v>
      </c>
    </row>
    <row r="8" spans="1:6">
      <c r="A8" s="2">
        <v>82</v>
      </c>
      <c r="B8" s="2" t="s">
        <v>156</v>
      </c>
      <c r="C8" s="2">
        <v>2</v>
      </c>
      <c r="D8" s="2">
        <v>2</v>
      </c>
      <c r="E8" s="4">
        <f t="shared" si="0"/>
        <v>70</v>
      </c>
      <c r="F8" s="2" t="s">
        <v>41</v>
      </c>
    </row>
    <row r="9" spans="1:6">
      <c r="A9" s="2">
        <v>83</v>
      </c>
      <c r="B9" s="2" t="s">
        <v>157</v>
      </c>
      <c r="C9" s="2">
        <v>2</v>
      </c>
      <c r="D9" s="4"/>
      <c r="E9" s="4">
        <f t="shared" si="0"/>
        <v>0</v>
      </c>
      <c r="F9" s="2" t="s">
        <v>72</v>
      </c>
    </row>
    <row r="10" spans="1:6">
      <c r="A10" s="87">
        <v>84</v>
      </c>
      <c r="B10" s="87" t="s">
        <v>158</v>
      </c>
      <c r="C10" s="88"/>
      <c r="D10" s="87">
        <v>8</v>
      </c>
      <c r="E10" s="4">
        <f t="shared" si="0"/>
        <v>280</v>
      </c>
      <c r="F10" s="2" t="s">
        <v>41</v>
      </c>
    </row>
    <row r="11" spans="1:6">
      <c r="A11" s="2">
        <v>75</v>
      </c>
      <c r="B11" s="2" t="s">
        <v>159</v>
      </c>
      <c r="C11" s="2">
        <v>30</v>
      </c>
      <c r="D11" s="2">
        <v>32</v>
      </c>
      <c r="E11" s="4">
        <f t="shared" si="0"/>
        <v>1120</v>
      </c>
      <c r="F11" s="2" t="s">
        <v>41</v>
      </c>
    </row>
    <row r="12" spans="1:6">
      <c r="A12" s="2">
        <v>85</v>
      </c>
      <c r="B12" s="2" t="s">
        <v>160</v>
      </c>
      <c r="C12" s="4"/>
      <c r="D12" s="2">
        <v>6</v>
      </c>
      <c r="E12" s="4">
        <f t="shared" si="0"/>
        <v>210</v>
      </c>
      <c r="F12" s="2" t="s">
        <v>41</v>
      </c>
    </row>
    <row r="13" spans="1:6">
      <c r="D13" s="76" t="s">
        <v>38</v>
      </c>
      <c r="E13" s="4">
        <f>SUM(E1:E12)</f>
        <v>3745</v>
      </c>
    </row>
    <row r="14" spans="1:6">
      <c r="A14" s="6">
        <v>11</v>
      </c>
    </row>
    <row r="15" spans="1:6">
      <c r="A15" s="89">
        <f>A14/SUM(D2:D12)</f>
        <v>0.10280373831775701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F19"/>
  <sheetViews>
    <sheetView workbookViewId="0">
      <pane ySplit="1" topLeftCell="A2" activePane="bottomLeft" state="frozen"/>
      <selection pane="bottomLeft" activeCell="B3" sqref="B3"/>
    </sheetView>
  </sheetViews>
  <sheetFormatPr defaultColWidth="12.5703125" defaultRowHeight="15.75" customHeight="1"/>
  <cols>
    <col min="1" max="1" width="5.140625" customWidth="1"/>
    <col min="2" max="2" width="67.5703125" customWidth="1"/>
    <col min="3" max="3" width="17" customWidth="1"/>
    <col min="6" max="6" width="17.28515625" customWidth="1"/>
    <col min="7" max="7" width="16.5703125" customWidth="1"/>
  </cols>
  <sheetData>
    <row r="1" spans="1:6">
      <c r="A1" s="1" t="s">
        <v>39</v>
      </c>
      <c r="B1" s="1" t="s">
        <v>0</v>
      </c>
      <c r="C1" s="1" t="s">
        <v>1</v>
      </c>
      <c r="D1" s="1" t="s">
        <v>3</v>
      </c>
      <c r="E1" s="1" t="s">
        <v>4</v>
      </c>
      <c r="F1" s="1" t="s">
        <v>5</v>
      </c>
    </row>
    <row r="2" spans="1:6">
      <c r="A2" s="90">
        <v>87</v>
      </c>
      <c r="B2" s="90" t="s">
        <v>161</v>
      </c>
      <c r="C2" s="91"/>
      <c r="D2" s="90">
        <v>8</v>
      </c>
      <c r="E2" s="4">
        <f t="shared" ref="E2:E16" si="0">35*D2</f>
        <v>280</v>
      </c>
      <c r="F2" s="2" t="s">
        <v>41</v>
      </c>
    </row>
    <row r="3" spans="1:6">
      <c r="A3" s="2">
        <v>73</v>
      </c>
      <c r="B3" s="2" t="s">
        <v>162</v>
      </c>
      <c r="C3" s="2">
        <v>6</v>
      </c>
      <c r="D3" s="2">
        <v>6</v>
      </c>
      <c r="E3" s="4">
        <f t="shared" si="0"/>
        <v>210</v>
      </c>
      <c r="F3" s="2" t="s">
        <v>41</v>
      </c>
    </row>
    <row r="4" spans="1:6">
      <c r="A4" s="2">
        <v>74</v>
      </c>
      <c r="B4" s="2" t="s">
        <v>163</v>
      </c>
      <c r="C4" s="2">
        <v>10</v>
      </c>
      <c r="D4" s="2">
        <v>12</v>
      </c>
      <c r="E4" s="4">
        <f t="shared" si="0"/>
        <v>420</v>
      </c>
      <c r="F4" s="2" t="s">
        <v>41</v>
      </c>
    </row>
    <row r="5" spans="1:6">
      <c r="A5" s="86">
        <v>76</v>
      </c>
      <c r="B5" s="92" t="s">
        <v>164</v>
      </c>
      <c r="C5" s="86">
        <v>6</v>
      </c>
      <c r="D5" s="86">
        <v>10</v>
      </c>
      <c r="E5" s="4">
        <f t="shared" si="0"/>
        <v>350</v>
      </c>
      <c r="F5" s="2" t="s">
        <v>41</v>
      </c>
    </row>
    <row r="6" spans="1:6">
      <c r="A6" s="2">
        <v>77</v>
      </c>
      <c r="B6" s="2" t="s">
        <v>165</v>
      </c>
      <c r="C6" s="4"/>
      <c r="D6" s="4"/>
      <c r="E6" s="4">
        <f t="shared" si="0"/>
        <v>0</v>
      </c>
      <c r="F6" s="2" t="s">
        <v>166</v>
      </c>
    </row>
    <row r="7" spans="1:6">
      <c r="A7" s="2">
        <v>78</v>
      </c>
      <c r="B7" s="2" t="s">
        <v>167</v>
      </c>
      <c r="C7" s="4"/>
      <c r="D7" s="4"/>
      <c r="E7" s="4">
        <f t="shared" si="0"/>
        <v>0</v>
      </c>
      <c r="F7" s="2" t="s">
        <v>166</v>
      </c>
    </row>
    <row r="8" spans="1:6">
      <c r="A8" s="2">
        <v>86</v>
      </c>
      <c r="B8" s="2" t="s">
        <v>168</v>
      </c>
      <c r="C8" s="2">
        <v>8</v>
      </c>
      <c r="D8" s="2">
        <v>8</v>
      </c>
      <c r="E8" s="4">
        <f t="shared" si="0"/>
        <v>280</v>
      </c>
      <c r="F8" s="2" t="s">
        <v>41</v>
      </c>
    </row>
    <row r="9" spans="1:6">
      <c r="A9" s="2">
        <v>83</v>
      </c>
      <c r="B9" s="86" t="s">
        <v>157</v>
      </c>
      <c r="C9" s="93"/>
      <c r="D9" s="86">
        <v>4</v>
      </c>
      <c r="E9" s="4">
        <f t="shared" si="0"/>
        <v>140</v>
      </c>
      <c r="F9" s="2" t="s">
        <v>41</v>
      </c>
    </row>
    <row r="10" spans="1:6">
      <c r="A10" s="2">
        <v>79</v>
      </c>
      <c r="B10" s="86" t="s">
        <v>153</v>
      </c>
      <c r="C10" s="93"/>
      <c r="D10" s="86">
        <v>4</v>
      </c>
      <c r="E10" s="4">
        <f t="shared" si="0"/>
        <v>140</v>
      </c>
      <c r="F10" s="2" t="s">
        <v>41</v>
      </c>
    </row>
    <row r="11" spans="1:6">
      <c r="A11" s="2">
        <v>89</v>
      </c>
      <c r="B11" s="86" t="s">
        <v>169</v>
      </c>
      <c r="C11" s="93"/>
      <c r="D11" s="86">
        <v>9</v>
      </c>
      <c r="E11" s="4">
        <f t="shared" si="0"/>
        <v>315</v>
      </c>
      <c r="F11" s="2" t="s">
        <v>41</v>
      </c>
    </row>
    <row r="12" spans="1:6">
      <c r="A12" s="2">
        <v>90</v>
      </c>
      <c r="B12" s="86" t="s">
        <v>170</v>
      </c>
      <c r="C12" s="93"/>
      <c r="D12" s="86">
        <v>2</v>
      </c>
      <c r="E12" s="4">
        <f t="shared" si="0"/>
        <v>70</v>
      </c>
      <c r="F12" s="2" t="s">
        <v>41</v>
      </c>
    </row>
    <row r="13" spans="1:6">
      <c r="A13" s="2">
        <v>60</v>
      </c>
      <c r="B13" s="3" t="s">
        <v>171</v>
      </c>
      <c r="C13" s="2">
        <v>35</v>
      </c>
      <c r="D13" s="2">
        <v>18</v>
      </c>
      <c r="E13" s="4">
        <f t="shared" si="0"/>
        <v>630</v>
      </c>
      <c r="F13" s="2" t="s">
        <v>128</v>
      </c>
    </row>
    <row r="14" spans="1:6">
      <c r="A14" s="2">
        <v>91</v>
      </c>
      <c r="B14" s="94" t="s">
        <v>172</v>
      </c>
      <c r="C14" s="95"/>
      <c r="D14" s="96">
        <v>12</v>
      </c>
      <c r="E14" s="4">
        <f t="shared" si="0"/>
        <v>420</v>
      </c>
      <c r="F14" s="2" t="s">
        <v>41</v>
      </c>
    </row>
    <row r="15" spans="1:6">
      <c r="A15" s="2">
        <v>92</v>
      </c>
      <c r="B15" s="97" t="s">
        <v>173</v>
      </c>
      <c r="C15" s="95"/>
      <c r="D15" s="96">
        <v>8</v>
      </c>
      <c r="E15" s="4">
        <f t="shared" si="0"/>
        <v>280</v>
      </c>
      <c r="F15" s="2" t="s">
        <v>41</v>
      </c>
    </row>
    <row r="16" spans="1:6">
      <c r="A16" s="2">
        <v>93</v>
      </c>
      <c r="B16" s="94" t="s">
        <v>174</v>
      </c>
      <c r="C16" s="95"/>
      <c r="D16" s="96">
        <v>4</v>
      </c>
      <c r="E16" s="4">
        <f t="shared" si="0"/>
        <v>140</v>
      </c>
      <c r="F16" s="2" t="s">
        <v>41</v>
      </c>
    </row>
    <row r="17" spans="1:5">
      <c r="D17" s="2" t="s">
        <v>53</v>
      </c>
      <c r="E17" s="4">
        <f>SUM(E2:E16)</f>
        <v>3675</v>
      </c>
    </row>
    <row r="19" spans="1:5">
      <c r="A19" s="89"/>
    </row>
  </sheetData>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F16"/>
  <sheetViews>
    <sheetView workbookViewId="0">
      <pane ySplit="1" topLeftCell="A2" activePane="bottomLeft" state="frozen"/>
      <selection pane="bottomLeft" activeCell="B3" sqref="B3"/>
    </sheetView>
  </sheetViews>
  <sheetFormatPr defaultColWidth="12.5703125" defaultRowHeight="15.75" customHeight="1"/>
  <cols>
    <col min="1" max="1" width="5.140625" customWidth="1"/>
    <col min="2" max="2" width="67.5703125" customWidth="1"/>
    <col min="3" max="3" width="17" customWidth="1"/>
    <col min="6" max="6" width="17.28515625" customWidth="1"/>
    <col min="7" max="7" width="16.5703125" customWidth="1"/>
  </cols>
  <sheetData>
    <row r="1" spans="1:6">
      <c r="A1" s="1" t="s">
        <v>39</v>
      </c>
      <c r="B1" s="1" t="s">
        <v>0</v>
      </c>
      <c r="C1" s="1" t="s">
        <v>1</v>
      </c>
      <c r="D1" s="1" t="s">
        <v>3</v>
      </c>
      <c r="E1" s="1" t="s">
        <v>4</v>
      </c>
      <c r="F1" s="1" t="s">
        <v>5</v>
      </c>
    </row>
    <row r="2" spans="1:6">
      <c r="A2" s="2">
        <v>88</v>
      </c>
      <c r="B2" s="2" t="s">
        <v>175</v>
      </c>
      <c r="C2" s="4"/>
      <c r="D2" s="2">
        <v>4</v>
      </c>
      <c r="E2" s="4">
        <f t="shared" ref="E2:E15" si="0">35*D2</f>
        <v>140</v>
      </c>
      <c r="F2" s="2" t="s">
        <v>41</v>
      </c>
    </row>
    <row r="3" spans="1:6">
      <c r="A3" s="2">
        <v>60</v>
      </c>
      <c r="B3" s="3" t="s">
        <v>171</v>
      </c>
      <c r="C3" s="2" t="s">
        <v>176</v>
      </c>
      <c r="D3" s="2">
        <v>17</v>
      </c>
      <c r="E3" s="4">
        <f t="shared" si="0"/>
        <v>595</v>
      </c>
      <c r="F3" s="2" t="s">
        <v>128</v>
      </c>
    </row>
    <row r="4" spans="1:6">
      <c r="A4" s="2">
        <v>72</v>
      </c>
      <c r="B4" s="2" t="s">
        <v>177</v>
      </c>
      <c r="C4" s="2">
        <v>10</v>
      </c>
      <c r="D4" s="2">
        <v>10</v>
      </c>
      <c r="E4" s="4">
        <f t="shared" si="0"/>
        <v>350</v>
      </c>
      <c r="F4" s="2" t="s">
        <v>41</v>
      </c>
    </row>
    <row r="5" spans="1:6">
      <c r="A5" s="2">
        <v>94</v>
      </c>
      <c r="B5" s="2" t="s">
        <v>178</v>
      </c>
      <c r="C5" s="4"/>
      <c r="D5" s="2">
        <v>6</v>
      </c>
      <c r="E5" s="4">
        <f t="shared" si="0"/>
        <v>210</v>
      </c>
      <c r="F5" s="2" t="s">
        <v>41</v>
      </c>
    </row>
    <row r="6" spans="1:6">
      <c r="A6" s="2">
        <v>95</v>
      </c>
      <c r="B6" s="2" t="s">
        <v>179</v>
      </c>
      <c r="C6" s="4"/>
      <c r="D6" s="2">
        <v>8</v>
      </c>
      <c r="E6" s="4">
        <f t="shared" si="0"/>
        <v>280</v>
      </c>
      <c r="F6" s="2" t="s">
        <v>41</v>
      </c>
    </row>
    <row r="7" spans="1:6">
      <c r="A7" s="2">
        <v>96</v>
      </c>
      <c r="B7" s="3" t="s">
        <v>180</v>
      </c>
      <c r="C7" s="4"/>
      <c r="D7" s="2">
        <v>3</v>
      </c>
      <c r="E7" s="4">
        <f t="shared" si="0"/>
        <v>105</v>
      </c>
      <c r="F7" s="2" t="s">
        <v>41</v>
      </c>
    </row>
    <row r="8" spans="1:6">
      <c r="A8" s="4"/>
      <c r="B8" s="2" t="s">
        <v>181</v>
      </c>
      <c r="C8" s="4"/>
      <c r="D8" s="2">
        <v>6</v>
      </c>
      <c r="E8" s="4">
        <f t="shared" si="0"/>
        <v>210</v>
      </c>
      <c r="F8" s="2" t="s">
        <v>41</v>
      </c>
    </row>
    <row r="9" spans="1:6">
      <c r="A9" s="4"/>
      <c r="B9" s="3" t="s">
        <v>182</v>
      </c>
      <c r="C9" s="4"/>
      <c r="D9" s="2">
        <v>3</v>
      </c>
      <c r="E9" s="4">
        <f t="shared" si="0"/>
        <v>105</v>
      </c>
      <c r="F9" s="2" t="s">
        <v>41</v>
      </c>
    </row>
    <row r="10" spans="1:6">
      <c r="A10" s="4"/>
      <c r="B10" s="2" t="s">
        <v>183</v>
      </c>
      <c r="C10" s="4"/>
      <c r="D10" s="2">
        <v>4</v>
      </c>
      <c r="E10" s="4">
        <f t="shared" si="0"/>
        <v>140</v>
      </c>
      <c r="F10" s="2" t="s">
        <v>41</v>
      </c>
    </row>
    <row r="11" spans="1:6">
      <c r="A11" s="4"/>
      <c r="B11" s="2" t="s">
        <v>184</v>
      </c>
      <c r="C11" s="4"/>
      <c r="D11" s="2">
        <v>3</v>
      </c>
      <c r="E11" s="4">
        <f t="shared" si="0"/>
        <v>105</v>
      </c>
      <c r="F11" s="2" t="s">
        <v>41</v>
      </c>
    </row>
    <row r="12" spans="1:6">
      <c r="A12" s="2"/>
      <c r="B12" s="2" t="s">
        <v>185</v>
      </c>
      <c r="C12" s="4"/>
      <c r="D12" s="2">
        <v>7</v>
      </c>
      <c r="E12" s="4">
        <f t="shared" si="0"/>
        <v>245</v>
      </c>
      <c r="F12" s="2" t="s">
        <v>41</v>
      </c>
    </row>
    <row r="13" spans="1:6">
      <c r="A13" s="2"/>
      <c r="B13" s="2" t="s">
        <v>186</v>
      </c>
      <c r="C13" s="4"/>
      <c r="D13" s="2">
        <v>3</v>
      </c>
      <c r="E13" s="4">
        <f t="shared" si="0"/>
        <v>105</v>
      </c>
      <c r="F13" s="2" t="s">
        <v>41</v>
      </c>
    </row>
    <row r="14" spans="1:6">
      <c r="A14" s="4"/>
      <c r="B14" s="2" t="s">
        <v>187</v>
      </c>
      <c r="C14" s="4"/>
      <c r="D14" s="2">
        <v>8</v>
      </c>
      <c r="E14" s="4">
        <f t="shared" si="0"/>
        <v>280</v>
      </c>
      <c r="F14" s="2" t="s">
        <v>41</v>
      </c>
    </row>
    <row r="15" spans="1:6">
      <c r="A15" s="4"/>
      <c r="B15" s="2" t="s">
        <v>188</v>
      </c>
      <c r="C15" s="4"/>
      <c r="D15" s="2">
        <v>3</v>
      </c>
      <c r="E15" s="4">
        <f t="shared" si="0"/>
        <v>105</v>
      </c>
      <c r="F15" s="2" t="s">
        <v>41</v>
      </c>
    </row>
    <row r="16" spans="1:6">
      <c r="D16" s="2" t="s">
        <v>53</v>
      </c>
      <c r="E16" s="4">
        <f>SUM(E2:E15)</f>
        <v>2975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F10"/>
  <sheetViews>
    <sheetView workbookViewId="0">
      <pane ySplit="1" topLeftCell="A2" activePane="bottomLeft" state="frozen"/>
      <selection pane="bottomLeft" activeCell="B3" sqref="B3"/>
    </sheetView>
  </sheetViews>
  <sheetFormatPr defaultColWidth="12.5703125" defaultRowHeight="15.75" customHeight="1"/>
  <cols>
    <col min="1" max="1" width="5.140625" customWidth="1"/>
    <col min="2" max="2" width="67.5703125" customWidth="1"/>
    <col min="3" max="3" width="17" customWidth="1"/>
    <col min="6" max="6" width="17.28515625" customWidth="1"/>
    <col min="7" max="7" width="16.5703125" customWidth="1"/>
  </cols>
  <sheetData>
    <row r="1" spans="1:6">
      <c r="A1" s="1" t="s">
        <v>39</v>
      </c>
      <c r="B1" s="1" t="s">
        <v>0</v>
      </c>
      <c r="C1" s="1" t="s">
        <v>1</v>
      </c>
      <c r="D1" s="1" t="s">
        <v>3</v>
      </c>
      <c r="E1" s="1" t="s">
        <v>4</v>
      </c>
      <c r="F1" s="1" t="s">
        <v>5</v>
      </c>
    </row>
    <row r="2" spans="1:6">
      <c r="A2" s="2"/>
      <c r="B2" s="2" t="s">
        <v>189</v>
      </c>
      <c r="C2" s="4"/>
      <c r="D2" s="2">
        <v>32</v>
      </c>
      <c r="E2" s="4">
        <f t="shared" ref="E2:E9" si="0">35*D2</f>
        <v>1120</v>
      </c>
      <c r="F2" s="2" t="s">
        <v>41</v>
      </c>
    </row>
    <row r="3" spans="1:6">
      <c r="A3" s="2"/>
      <c r="B3" s="2" t="s">
        <v>190</v>
      </c>
      <c r="C3" s="2"/>
      <c r="D3" s="2">
        <v>6</v>
      </c>
      <c r="E3" s="4">
        <f t="shared" si="0"/>
        <v>210</v>
      </c>
      <c r="F3" s="2" t="s">
        <v>41</v>
      </c>
    </row>
    <row r="4" spans="1:6">
      <c r="A4" s="2"/>
      <c r="B4" s="2" t="s">
        <v>191</v>
      </c>
      <c r="C4" s="4"/>
      <c r="D4" s="2">
        <v>6</v>
      </c>
      <c r="E4" s="4">
        <f t="shared" si="0"/>
        <v>210</v>
      </c>
      <c r="F4" s="2" t="s">
        <v>41</v>
      </c>
    </row>
    <row r="5" spans="1:6">
      <c r="A5" s="2"/>
      <c r="B5" s="3" t="s">
        <v>192</v>
      </c>
      <c r="C5" s="4"/>
      <c r="D5" s="2">
        <v>5</v>
      </c>
      <c r="E5" s="4">
        <f t="shared" si="0"/>
        <v>175</v>
      </c>
      <c r="F5" s="2" t="s">
        <v>41</v>
      </c>
    </row>
    <row r="6" spans="1:6">
      <c r="A6" s="4"/>
      <c r="B6" s="2" t="s">
        <v>193</v>
      </c>
      <c r="C6" s="4"/>
      <c r="D6" s="2">
        <v>2</v>
      </c>
      <c r="E6" s="4">
        <f t="shared" si="0"/>
        <v>70</v>
      </c>
      <c r="F6" s="2" t="s">
        <v>41</v>
      </c>
    </row>
    <row r="7" spans="1:6">
      <c r="A7" s="4"/>
      <c r="B7" s="2" t="s">
        <v>194</v>
      </c>
      <c r="C7" s="4"/>
      <c r="D7" s="2">
        <v>4</v>
      </c>
      <c r="E7" s="4">
        <f t="shared" si="0"/>
        <v>140</v>
      </c>
      <c r="F7" s="2" t="s">
        <v>128</v>
      </c>
    </row>
    <row r="8" spans="1:6">
      <c r="A8" s="4"/>
      <c r="B8" s="2" t="s">
        <v>195</v>
      </c>
      <c r="C8" s="4"/>
      <c r="D8" s="2">
        <v>17</v>
      </c>
      <c r="E8" s="4">
        <f t="shared" si="0"/>
        <v>595</v>
      </c>
      <c r="F8" s="2" t="s">
        <v>41</v>
      </c>
    </row>
    <row r="9" spans="1:6">
      <c r="A9" s="4"/>
      <c r="B9" s="2" t="s">
        <v>196</v>
      </c>
      <c r="C9" s="4"/>
      <c r="D9" s="2">
        <v>5</v>
      </c>
      <c r="E9" s="4">
        <f t="shared" si="0"/>
        <v>175</v>
      </c>
      <c r="F9" s="2" t="s">
        <v>41</v>
      </c>
    </row>
    <row r="10" spans="1:6">
      <c r="D10" s="2" t="s">
        <v>53</v>
      </c>
      <c r="E10" s="4">
        <f>SUM(E2:E9)</f>
        <v>2695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F21"/>
  <sheetViews>
    <sheetView workbookViewId="0">
      <pane ySplit="1" topLeftCell="A2" activePane="bottomLeft" state="frozen"/>
      <selection pane="bottomLeft" activeCell="B3" sqref="B3"/>
    </sheetView>
  </sheetViews>
  <sheetFormatPr defaultColWidth="12.5703125" defaultRowHeight="15.75" customHeight="1"/>
  <cols>
    <col min="1" max="1" width="5.140625" customWidth="1"/>
    <col min="2" max="2" width="67.5703125" customWidth="1"/>
    <col min="3" max="3" width="17" customWidth="1"/>
    <col min="6" max="6" width="17.28515625" customWidth="1"/>
    <col min="7" max="7" width="16.5703125" customWidth="1"/>
  </cols>
  <sheetData>
    <row r="1" spans="1:6">
      <c r="A1" s="1" t="s">
        <v>39</v>
      </c>
      <c r="B1" s="1" t="s">
        <v>0</v>
      </c>
      <c r="C1" s="1" t="s">
        <v>1</v>
      </c>
      <c r="D1" s="1" t="s">
        <v>3</v>
      </c>
      <c r="E1" s="1" t="s">
        <v>4</v>
      </c>
      <c r="F1" s="1" t="s">
        <v>5</v>
      </c>
    </row>
    <row r="2" spans="1:6">
      <c r="A2" s="2"/>
      <c r="B2" s="2" t="s">
        <v>197</v>
      </c>
      <c r="C2" s="4"/>
      <c r="D2" s="2">
        <v>10</v>
      </c>
      <c r="E2" s="4">
        <f t="shared" ref="E2:E20" si="0">35*D2</f>
        <v>350</v>
      </c>
      <c r="F2" s="2" t="s">
        <v>41</v>
      </c>
    </row>
    <row r="3" spans="1:6">
      <c r="A3" s="2"/>
      <c r="B3" s="2" t="s">
        <v>198</v>
      </c>
      <c r="C3" s="2"/>
      <c r="D3" s="2">
        <v>3</v>
      </c>
      <c r="E3" s="4">
        <f t="shared" si="0"/>
        <v>105</v>
      </c>
      <c r="F3" s="2" t="s">
        <v>41</v>
      </c>
    </row>
    <row r="4" spans="1:6">
      <c r="A4" s="2"/>
      <c r="B4" s="2" t="s">
        <v>199</v>
      </c>
      <c r="C4" s="2">
        <v>18</v>
      </c>
      <c r="D4" s="2">
        <v>20</v>
      </c>
      <c r="E4" s="4">
        <f t="shared" si="0"/>
        <v>700</v>
      </c>
      <c r="F4" s="2" t="s">
        <v>41</v>
      </c>
    </row>
    <row r="5" spans="1:6">
      <c r="A5" s="2"/>
      <c r="B5" s="2" t="s">
        <v>200</v>
      </c>
      <c r="C5" s="2"/>
      <c r="D5" s="2">
        <v>8</v>
      </c>
      <c r="E5" s="4">
        <f t="shared" si="0"/>
        <v>280</v>
      </c>
      <c r="F5" s="2" t="s">
        <v>41</v>
      </c>
    </row>
    <row r="6" spans="1:6">
      <c r="A6" s="2"/>
      <c r="B6" s="3" t="s">
        <v>201</v>
      </c>
      <c r="C6" s="2">
        <v>25</v>
      </c>
      <c r="D6" s="2">
        <v>25</v>
      </c>
      <c r="E6" s="4">
        <f t="shared" si="0"/>
        <v>875</v>
      </c>
      <c r="F6" s="2" t="s">
        <v>41</v>
      </c>
    </row>
    <row r="7" spans="1:6">
      <c r="A7" s="4"/>
      <c r="B7" s="2" t="s">
        <v>202</v>
      </c>
      <c r="C7" s="2">
        <v>36</v>
      </c>
      <c r="D7" s="2">
        <v>36</v>
      </c>
      <c r="E7" s="4">
        <f t="shared" si="0"/>
        <v>1260</v>
      </c>
      <c r="F7" s="2" t="s">
        <v>41</v>
      </c>
    </row>
    <row r="8" spans="1:6">
      <c r="A8" s="4"/>
      <c r="B8" s="2" t="s">
        <v>203</v>
      </c>
      <c r="C8" s="4"/>
      <c r="D8" s="2">
        <v>16</v>
      </c>
      <c r="E8" s="4">
        <f t="shared" si="0"/>
        <v>560</v>
      </c>
      <c r="F8" s="2" t="s">
        <v>41</v>
      </c>
    </row>
    <row r="9" spans="1:6">
      <c r="A9" s="4"/>
      <c r="B9" s="3" t="s">
        <v>204</v>
      </c>
      <c r="C9" s="4"/>
      <c r="D9" s="2">
        <v>22</v>
      </c>
      <c r="E9" s="4">
        <f t="shared" si="0"/>
        <v>770</v>
      </c>
      <c r="F9" s="2" t="s">
        <v>41</v>
      </c>
    </row>
    <row r="10" spans="1:6">
      <c r="A10" s="4"/>
      <c r="B10" s="2" t="s">
        <v>205</v>
      </c>
      <c r="C10" s="4"/>
      <c r="D10" s="2">
        <v>8</v>
      </c>
      <c r="E10" s="4">
        <f t="shared" si="0"/>
        <v>280</v>
      </c>
      <c r="F10" s="2" t="s">
        <v>41</v>
      </c>
    </row>
    <row r="11" spans="1:6">
      <c r="A11" s="4"/>
      <c r="B11" s="2" t="s">
        <v>206</v>
      </c>
      <c r="C11" s="4"/>
      <c r="D11" s="2">
        <v>10</v>
      </c>
      <c r="E11" s="4">
        <f t="shared" si="0"/>
        <v>350</v>
      </c>
      <c r="F11" s="2" t="s">
        <v>41</v>
      </c>
    </row>
    <row r="12" spans="1:6">
      <c r="A12" s="4"/>
      <c r="B12" s="2" t="s">
        <v>207</v>
      </c>
      <c r="C12" s="4"/>
      <c r="D12" s="2">
        <v>12</v>
      </c>
      <c r="E12" s="4">
        <f t="shared" si="0"/>
        <v>420</v>
      </c>
      <c r="F12" s="2" t="s">
        <v>128</v>
      </c>
    </row>
    <row r="13" spans="1:6">
      <c r="A13" s="4"/>
      <c r="B13" s="2" t="s">
        <v>208</v>
      </c>
      <c r="C13" s="4"/>
      <c r="D13" s="2">
        <v>8</v>
      </c>
      <c r="E13" s="4">
        <f t="shared" si="0"/>
        <v>280</v>
      </c>
      <c r="F13" s="2" t="s">
        <v>41</v>
      </c>
    </row>
    <row r="14" spans="1:6">
      <c r="A14" s="4"/>
      <c r="B14" s="98" t="s">
        <v>209</v>
      </c>
      <c r="C14" s="4"/>
      <c r="D14" s="2">
        <v>20</v>
      </c>
      <c r="E14" s="4">
        <f t="shared" si="0"/>
        <v>700</v>
      </c>
      <c r="F14" s="2" t="s">
        <v>41</v>
      </c>
    </row>
    <row r="15" spans="1:6">
      <c r="A15" s="4"/>
      <c r="B15" s="2" t="s">
        <v>210</v>
      </c>
      <c r="C15" s="4"/>
      <c r="D15" s="2">
        <v>16</v>
      </c>
      <c r="E15" s="4">
        <f t="shared" si="0"/>
        <v>560</v>
      </c>
      <c r="F15" s="2" t="s">
        <v>41</v>
      </c>
    </row>
    <row r="16" spans="1:6">
      <c r="A16" s="4"/>
      <c r="B16" s="2" t="s">
        <v>211</v>
      </c>
      <c r="C16" s="4"/>
      <c r="D16" s="2">
        <v>2</v>
      </c>
      <c r="E16" s="4">
        <f t="shared" si="0"/>
        <v>70</v>
      </c>
      <c r="F16" s="2" t="s">
        <v>41</v>
      </c>
    </row>
    <row r="17" spans="1:6">
      <c r="A17" s="4"/>
      <c r="B17" s="2" t="s">
        <v>212</v>
      </c>
      <c r="C17" s="4"/>
      <c r="D17" s="2">
        <v>4</v>
      </c>
      <c r="E17" s="4">
        <f t="shared" si="0"/>
        <v>140</v>
      </c>
      <c r="F17" s="2" t="s">
        <v>41</v>
      </c>
    </row>
    <row r="18" spans="1:6">
      <c r="A18" s="4"/>
      <c r="B18" s="2" t="s">
        <v>213</v>
      </c>
      <c r="C18" s="4"/>
      <c r="D18" s="2">
        <v>22</v>
      </c>
      <c r="E18" s="4">
        <f t="shared" si="0"/>
        <v>770</v>
      </c>
      <c r="F18" s="2" t="s">
        <v>41</v>
      </c>
    </row>
    <row r="19" spans="1:6">
      <c r="A19" s="4"/>
      <c r="B19" s="2" t="s">
        <v>214</v>
      </c>
      <c r="C19" s="4"/>
      <c r="D19" s="2">
        <v>28</v>
      </c>
      <c r="E19" s="4">
        <f t="shared" si="0"/>
        <v>980</v>
      </c>
      <c r="F19" s="2" t="s">
        <v>41</v>
      </c>
    </row>
    <row r="20" spans="1:6">
      <c r="A20" s="4"/>
      <c r="B20" s="2" t="s">
        <v>215</v>
      </c>
      <c r="C20" s="4"/>
      <c r="D20" s="2">
        <v>4</v>
      </c>
      <c r="E20" s="4">
        <f t="shared" si="0"/>
        <v>140</v>
      </c>
      <c r="F20" s="2" t="s">
        <v>41</v>
      </c>
    </row>
    <row r="21" spans="1:6">
      <c r="B21" s="99"/>
      <c r="D21" s="2" t="s">
        <v>53</v>
      </c>
      <c r="E21" s="4">
        <f>SUM(E2:E20)</f>
        <v>9590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F18"/>
  <sheetViews>
    <sheetView workbookViewId="0">
      <pane ySplit="1" topLeftCell="A2" activePane="bottomLeft" state="frozen"/>
      <selection pane="bottomLeft" activeCell="B3" sqref="B3"/>
    </sheetView>
  </sheetViews>
  <sheetFormatPr defaultColWidth="12.5703125" defaultRowHeight="15.75" customHeight="1"/>
  <cols>
    <col min="1" max="1" width="5.140625" customWidth="1"/>
    <col min="2" max="2" width="67.5703125" customWidth="1"/>
    <col min="3" max="3" width="17" customWidth="1"/>
    <col min="6" max="6" width="17.28515625" customWidth="1"/>
    <col min="7" max="7" width="16.5703125" customWidth="1"/>
  </cols>
  <sheetData>
    <row r="1" spans="1:6">
      <c r="A1" s="1" t="s">
        <v>39</v>
      </c>
      <c r="B1" s="1" t="s">
        <v>0</v>
      </c>
      <c r="C1" s="1" t="s">
        <v>1</v>
      </c>
      <c r="D1" s="1" t="s">
        <v>3</v>
      </c>
      <c r="E1" s="1" t="s">
        <v>4</v>
      </c>
      <c r="F1" s="1" t="s">
        <v>5</v>
      </c>
    </row>
    <row r="2" spans="1:6">
      <c r="A2" s="2"/>
      <c r="B2" s="2" t="s">
        <v>216</v>
      </c>
      <c r="C2" s="4"/>
      <c r="D2" s="2">
        <v>3</v>
      </c>
      <c r="E2" s="4">
        <f t="shared" ref="E2:E17" si="0">D2*35</f>
        <v>105</v>
      </c>
      <c r="F2" s="2" t="s">
        <v>41</v>
      </c>
    </row>
    <row r="3" spans="1:6">
      <c r="A3" s="2"/>
      <c r="B3" s="2" t="s">
        <v>217</v>
      </c>
      <c r="C3" s="2"/>
      <c r="D3" s="2">
        <v>17</v>
      </c>
      <c r="E3" s="4">
        <f t="shared" si="0"/>
        <v>595</v>
      </c>
      <c r="F3" s="2" t="s">
        <v>41</v>
      </c>
    </row>
    <row r="4" spans="1:6">
      <c r="A4" s="2"/>
      <c r="B4" s="2" t="s">
        <v>218</v>
      </c>
      <c r="C4" s="2"/>
      <c r="D4" s="2">
        <v>3</v>
      </c>
      <c r="E4" s="4">
        <f t="shared" si="0"/>
        <v>105</v>
      </c>
      <c r="F4" s="2" t="s">
        <v>41</v>
      </c>
    </row>
    <row r="5" spans="1:6">
      <c r="A5" s="2"/>
      <c r="B5" s="2" t="s">
        <v>219</v>
      </c>
      <c r="C5" s="2"/>
      <c r="D5" s="2">
        <v>33</v>
      </c>
      <c r="E5" s="4">
        <f t="shared" si="0"/>
        <v>1155</v>
      </c>
      <c r="F5" s="2" t="s">
        <v>41</v>
      </c>
    </row>
    <row r="6" spans="1:6">
      <c r="A6" s="2"/>
      <c r="B6" s="3" t="s">
        <v>220</v>
      </c>
      <c r="C6" s="2"/>
      <c r="D6" s="2">
        <v>9</v>
      </c>
      <c r="E6" s="4">
        <f t="shared" si="0"/>
        <v>315</v>
      </c>
      <c r="F6" s="2" t="s">
        <v>41</v>
      </c>
    </row>
    <row r="7" spans="1:6">
      <c r="A7" s="4"/>
      <c r="B7" s="2" t="s">
        <v>221</v>
      </c>
      <c r="C7" s="2"/>
      <c r="D7" s="2">
        <v>4</v>
      </c>
      <c r="E7" s="4">
        <f t="shared" si="0"/>
        <v>140</v>
      </c>
      <c r="F7" s="2" t="s">
        <v>41</v>
      </c>
    </row>
    <row r="8" spans="1:6">
      <c r="A8" s="4"/>
      <c r="B8" s="2" t="s">
        <v>222</v>
      </c>
      <c r="C8" s="4"/>
      <c r="D8" s="2">
        <v>12</v>
      </c>
      <c r="E8" s="4">
        <f t="shared" si="0"/>
        <v>420</v>
      </c>
      <c r="F8" s="2" t="s">
        <v>41</v>
      </c>
    </row>
    <row r="9" spans="1:6">
      <c r="A9" s="4"/>
      <c r="B9" s="3" t="s">
        <v>223</v>
      </c>
      <c r="C9" s="4"/>
      <c r="D9" s="2">
        <v>14</v>
      </c>
      <c r="E9" s="4">
        <f t="shared" si="0"/>
        <v>490</v>
      </c>
      <c r="F9" s="2" t="s">
        <v>41</v>
      </c>
    </row>
    <row r="10" spans="1:6">
      <c r="A10" s="4"/>
      <c r="B10" s="2" t="s">
        <v>224</v>
      </c>
      <c r="C10" s="4"/>
      <c r="D10" s="2">
        <v>5</v>
      </c>
      <c r="E10" s="4">
        <f t="shared" si="0"/>
        <v>175</v>
      </c>
      <c r="F10" s="2" t="s">
        <v>128</v>
      </c>
    </row>
    <row r="11" spans="1:6">
      <c r="A11" s="4"/>
      <c r="B11" s="2" t="s">
        <v>225</v>
      </c>
      <c r="C11" s="4"/>
      <c r="D11" s="2">
        <v>12</v>
      </c>
      <c r="E11" s="4">
        <f t="shared" si="0"/>
        <v>420</v>
      </c>
      <c r="F11" s="2" t="s">
        <v>41</v>
      </c>
    </row>
    <row r="12" spans="1:6">
      <c r="A12" s="4"/>
      <c r="B12" s="2" t="s">
        <v>207</v>
      </c>
      <c r="C12" s="4"/>
      <c r="D12" s="2">
        <v>6</v>
      </c>
      <c r="E12" s="4">
        <f t="shared" si="0"/>
        <v>210</v>
      </c>
      <c r="F12" s="2" t="s">
        <v>128</v>
      </c>
    </row>
    <row r="13" spans="1:6">
      <c r="A13" s="4"/>
      <c r="B13" s="2" t="s">
        <v>226</v>
      </c>
      <c r="C13" s="4"/>
      <c r="D13" s="2">
        <v>9</v>
      </c>
      <c r="E13" s="4">
        <f t="shared" si="0"/>
        <v>315</v>
      </c>
      <c r="F13" s="2" t="s">
        <v>41</v>
      </c>
    </row>
    <row r="14" spans="1:6">
      <c r="A14" s="4"/>
      <c r="B14" s="98" t="s">
        <v>227</v>
      </c>
      <c r="C14" s="4"/>
      <c r="D14" s="2">
        <v>16</v>
      </c>
      <c r="E14" s="4">
        <f t="shared" si="0"/>
        <v>560</v>
      </c>
      <c r="F14" s="2" t="s">
        <v>41</v>
      </c>
    </row>
    <row r="15" spans="1:6">
      <c r="A15" s="4"/>
      <c r="B15" s="2" t="s">
        <v>228</v>
      </c>
      <c r="C15" s="4"/>
      <c r="D15" s="2">
        <v>6</v>
      </c>
      <c r="E15" s="4">
        <f t="shared" si="0"/>
        <v>210</v>
      </c>
      <c r="F15" s="2" t="s">
        <v>41</v>
      </c>
    </row>
    <row r="16" spans="1:6">
      <c r="A16" s="4"/>
      <c r="B16" s="2" t="s">
        <v>229</v>
      </c>
      <c r="C16" s="4"/>
      <c r="D16" s="2">
        <v>10</v>
      </c>
      <c r="E16" s="4">
        <f t="shared" si="0"/>
        <v>350</v>
      </c>
      <c r="F16" s="2" t="s">
        <v>41</v>
      </c>
    </row>
    <row r="17" spans="1:6">
      <c r="A17" s="4"/>
      <c r="B17" s="2" t="s">
        <v>230</v>
      </c>
      <c r="C17" s="4"/>
      <c r="D17" s="2">
        <v>9</v>
      </c>
      <c r="E17" s="4">
        <f t="shared" si="0"/>
        <v>315</v>
      </c>
      <c r="F17" s="2" t="s">
        <v>41</v>
      </c>
    </row>
    <row r="18" spans="1:6">
      <c r="B18" s="99"/>
      <c r="D18" s="2" t="s">
        <v>53</v>
      </c>
      <c r="E18" s="4">
        <f>SUM(E2:E17)</f>
        <v>5880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F26"/>
  <sheetViews>
    <sheetView workbookViewId="0">
      <pane ySplit="1" topLeftCell="A2" activePane="bottomLeft" state="frozen"/>
      <selection pane="bottomLeft" activeCell="B3" sqref="B3"/>
    </sheetView>
  </sheetViews>
  <sheetFormatPr defaultColWidth="12.5703125" defaultRowHeight="15.75" customHeight="1"/>
  <cols>
    <col min="1" max="1" width="5.140625" customWidth="1"/>
    <col min="2" max="2" width="69.28515625" customWidth="1"/>
    <col min="3" max="3" width="17" customWidth="1"/>
    <col min="6" max="6" width="17.28515625" customWidth="1"/>
    <col min="7" max="7" width="16.5703125" customWidth="1"/>
  </cols>
  <sheetData>
    <row r="1" spans="1:6">
      <c r="A1" s="1" t="s">
        <v>39</v>
      </c>
      <c r="B1" s="1" t="s">
        <v>0</v>
      </c>
      <c r="C1" s="1" t="s">
        <v>1</v>
      </c>
      <c r="D1" s="1" t="s">
        <v>3</v>
      </c>
      <c r="E1" s="1" t="s">
        <v>4</v>
      </c>
      <c r="F1" s="1" t="s">
        <v>5</v>
      </c>
    </row>
    <row r="2" spans="1:6">
      <c r="A2" s="2">
        <v>1</v>
      </c>
      <c r="B2" s="100" t="s">
        <v>231</v>
      </c>
      <c r="C2" s="4"/>
      <c r="D2" s="2">
        <v>12</v>
      </c>
      <c r="E2" s="4">
        <f t="shared" ref="E2:E25" si="0">35*D2</f>
        <v>420</v>
      </c>
      <c r="F2" s="2" t="s">
        <v>41</v>
      </c>
    </row>
    <row r="3" spans="1:6">
      <c r="A3" s="2">
        <v>2</v>
      </c>
      <c r="B3" s="101" t="s">
        <v>232</v>
      </c>
      <c r="C3" s="2"/>
      <c r="D3" s="2">
        <v>5</v>
      </c>
      <c r="E3" s="4">
        <f t="shared" si="0"/>
        <v>175</v>
      </c>
      <c r="F3" s="2" t="s">
        <v>128</v>
      </c>
    </row>
    <row r="4" spans="1:6">
      <c r="A4" s="2">
        <v>3</v>
      </c>
      <c r="B4" s="100" t="s">
        <v>233</v>
      </c>
      <c r="C4" s="2"/>
      <c r="D4" s="2">
        <v>8</v>
      </c>
      <c r="E4" s="4">
        <f t="shared" si="0"/>
        <v>280</v>
      </c>
      <c r="F4" s="2" t="s">
        <v>41</v>
      </c>
    </row>
    <row r="5" spans="1:6">
      <c r="A5" s="2">
        <v>4</v>
      </c>
      <c r="B5" s="2" t="s">
        <v>234</v>
      </c>
      <c r="C5" s="2"/>
      <c r="D5" s="2">
        <v>11</v>
      </c>
      <c r="E5" s="4">
        <f t="shared" si="0"/>
        <v>385</v>
      </c>
      <c r="F5" s="2" t="s">
        <v>41</v>
      </c>
    </row>
    <row r="6" spans="1:6">
      <c r="A6" s="2">
        <v>5</v>
      </c>
      <c r="B6" s="3" t="s">
        <v>235</v>
      </c>
      <c r="C6" s="2"/>
      <c r="D6" s="2">
        <v>7</v>
      </c>
      <c r="E6" s="4">
        <f t="shared" si="0"/>
        <v>245</v>
      </c>
      <c r="F6" s="2" t="s">
        <v>41</v>
      </c>
    </row>
    <row r="7" spans="1:6">
      <c r="A7" s="2">
        <v>6</v>
      </c>
      <c r="B7" s="2" t="s">
        <v>236</v>
      </c>
      <c r="C7" s="2"/>
      <c r="D7" s="2">
        <v>4</v>
      </c>
      <c r="E7" s="4">
        <f t="shared" si="0"/>
        <v>140</v>
      </c>
      <c r="F7" s="2" t="s">
        <v>41</v>
      </c>
    </row>
    <row r="8" spans="1:6">
      <c r="A8" s="2">
        <v>7</v>
      </c>
      <c r="B8" s="2" t="s">
        <v>237</v>
      </c>
      <c r="C8" s="4"/>
      <c r="D8" s="2">
        <v>8</v>
      </c>
      <c r="E8" s="4">
        <f t="shared" si="0"/>
        <v>280</v>
      </c>
      <c r="F8" s="2" t="s">
        <v>41</v>
      </c>
    </row>
    <row r="9" spans="1:6">
      <c r="A9" s="2">
        <v>8</v>
      </c>
      <c r="B9" s="3" t="s">
        <v>238</v>
      </c>
      <c r="C9" s="4"/>
      <c r="D9" s="2">
        <v>3</v>
      </c>
      <c r="E9" s="4">
        <f t="shared" si="0"/>
        <v>105</v>
      </c>
      <c r="F9" s="2" t="s">
        <v>41</v>
      </c>
    </row>
    <row r="10" spans="1:6">
      <c r="A10" s="2">
        <v>9</v>
      </c>
      <c r="B10" s="98" t="s">
        <v>239</v>
      </c>
      <c r="C10" s="4"/>
      <c r="D10" s="2">
        <v>20</v>
      </c>
      <c r="E10" s="4">
        <f t="shared" si="0"/>
        <v>700</v>
      </c>
      <c r="F10" s="2" t="s">
        <v>41</v>
      </c>
    </row>
    <row r="11" spans="1:6">
      <c r="A11" s="2">
        <v>10</v>
      </c>
      <c r="B11" s="2" t="s">
        <v>240</v>
      </c>
      <c r="C11" s="4"/>
      <c r="D11" s="2">
        <v>4</v>
      </c>
      <c r="E11" s="4">
        <f t="shared" si="0"/>
        <v>140</v>
      </c>
      <c r="F11" s="2" t="s">
        <v>41</v>
      </c>
    </row>
    <row r="12" spans="1:6">
      <c r="A12" s="2">
        <v>11</v>
      </c>
      <c r="B12" s="98" t="s">
        <v>241</v>
      </c>
      <c r="C12" s="4"/>
      <c r="D12" s="2">
        <v>1</v>
      </c>
      <c r="E12" s="4">
        <f t="shared" si="0"/>
        <v>35</v>
      </c>
      <c r="F12" s="2" t="s">
        <v>41</v>
      </c>
    </row>
    <row r="13" spans="1:6">
      <c r="A13" s="2">
        <v>12</v>
      </c>
      <c r="B13" s="2" t="s">
        <v>242</v>
      </c>
      <c r="C13" s="4"/>
      <c r="D13" s="2">
        <v>2</v>
      </c>
      <c r="E13" s="4">
        <f t="shared" si="0"/>
        <v>70</v>
      </c>
      <c r="F13" s="2" t="s">
        <v>41</v>
      </c>
    </row>
    <row r="14" spans="1:6">
      <c r="A14" s="2">
        <v>13</v>
      </c>
      <c r="B14" s="2" t="s">
        <v>243</v>
      </c>
      <c r="C14" s="4"/>
      <c r="D14" s="2">
        <v>2</v>
      </c>
      <c r="E14" s="4">
        <f t="shared" si="0"/>
        <v>70</v>
      </c>
      <c r="F14" s="2" t="s">
        <v>41</v>
      </c>
    </row>
    <row r="15" spans="1:6">
      <c r="A15" s="2">
        <v>14</v>
      </c>
      <c r="B15" s="2" t="s">
        <v>244</v>
      </c>
      <c r="C15" s="4"/>
      <c r="D15" s="2">
        <v>20</v>
      </c>
      <c r="E15" s="4">
        <f t="shared" si="0"/>
        <v>700</v>
      </c>
      <c r="F15" s="2" t="s">
        <v>41</v>
      </c>
    </row>
    <row r="16" spans="1:6">
      <c r="A16" s="2">
        <v>15</v>
      </c>
      <c r="B16" s="2" t="s">
        <v>245</v>
      </c>
      <c r="C16" s="4"/>
      <c r="D16" s="2">
        <v>12</v>
      </c>
      <c r="E16" s="4">
        <f t="shared" si="0"/>
        <v>420</v>
      </c>
      <c r="F16" s="2" t="s">
        <v>128</v>
      </c>
    </row>
    <row r="17" spans="1:6">
      <c r="A17" s="2">
        <v>16</v>
      </c>
      <c r="B17" s="2" t="s">
        <v>246</v>
      </c>
      <c r="C17" s="4"/>
      <c r="D17" s="2">
        <v>15</v>
      </c>
      <c r="E17" s="4">
        <f t="shared" si="0"/>
        <v>525</v>
      </c>
      <c r="F17" s="2" t="s">
        <v>41</v>
      </c>
    </row>
    <row r="18" spans="1:6">
      <c r="A18" s="2">
        <v>17</v>
      </c>
      <c r="B18" s="2" t="s">
        <v>247</v>
      </c>
      <c r="C18" s="4"/>
      <c r="D18" s="2">
        <v>3</v>
      </c>
      <c r="E18" s="4">
        <f t="shared" si="0"/>
        <v>105</v>
      </c>
      <c r="F18" s="2" t="s">
        <v>41</v>
      </c>
    </row>
    <row r="19" spans="1:6">
      <c r="A19" s="2">
        <v>18</v>
      </c>
      <c r="B19" s="2" t="s">
        <v>248</v>
      </c>
      <c r="C19" s="4"/>
      <c r="D19" s="2">
        <v>8</v>
      </c>
      <c r="E19" s="4">
        <f t="shared" si="0"/>
        <v>280</v>
      </c>
      <c r="F19" s="2" t="s">
        <v>41</v>
      </c>
    </row>
    <row r="20" spans="1:6">
      <c r="A20" s="2">
        <v>19</v>
      </c>
      <c r="B20" s="2" t="s">
        <v>249</v>
      </c>
      <c r="C20" s="4"/>
      <c r="D20" s="2">
        <v>1</v>
      </c>
      <c r="E20" s="4">
        <f t="shared" si="0"/>
        <v>35</v>
      </c>
      <c r="F20" s="2" t="s">
        <v>41</v>
      </c>
    </row>
    <row r="21" spans="1:6">
      <c r="A21" s="2">
        <v>20</v>
      </c>
      <c r="B21" s="2" t="s">
        <v>250</v>
      </c>
      <c r="C21" s="4"/>
      <c r="D21" s="2">
        <v>2</v>
      </c>
      <c r="E21" s="4">
        <f t="shared" si="0"/>
        <v>70</v>
      </c>
      <c r="F21" s="2" t="s">
        <v>41</v>
      </c>
    </row>
    <row r="22" spans="1:6">
      <c r="A22" s="2">
        <v>21</v>
      </c>
      <c r="B22" s="2" t="s">
        <v>251</v>
      </c>
      <c r="C22" s="4"/>
      <c r="D22" s="2">
        <v>3</v>
      </c>
      <c r="E22" s="4">
        <f t="shared" si="0"/>
        <v>105</v>
      </c>
      <c r="F22" s="2" t="s">
        <v>41</v>
      </c>
    </row>
    <row r="23" spans="1:6">
      <c r="A23" s="2">
        <v>22</v>
      </c>
      <c r="B23" s="2" t="s">
        <v>252</v>
      </c>
      <c r="C23" s="4"/>
      <c r="D23" s="2">
        <v>1</v>
      </c>
      <c r="E23" s="4">
        <f t="shared" si="0"/>
        <v>35</v>
      </c>
      <c r="F23" s="2" t="s">
        <v>41</v>
      </c>
    </row>
    <row r="24" spans="1:6">
      <c r="A24" s="2">
        <v>23</v>
      </c>
      <c r="B24" s="2" t="s">
        <v>253</v>
      </c>
      <c r="C24" s="4"/>
      <c r="D24" s="2">
        <v>2</v>
      </c>
      <c r="E24" s="4">
        <f t="shared" si="0"/>
        <v>70</v>
      </c>
      <c r="F24" s="2" t="s">
        <v>41</v>
      </c>
    </row>
    <row r="25" spans="1:6">
      <c r="A25" s="2">
        <v>24</v>
      </c>
      <c r="B25" s="2" t="s">
        <v>254</v>
      </c>
      <c r="C25" s="4"/>
      <c r="D25" s="2">
        <v>2</v>
      </c>
      <c r="E25" s="4">
        <f t="shared" si="0"/>
        <v>70</v>
      </c>
      <c r="F25" s="2" t="s">
        <v>41</v>
      </c>
    </row>
    <row r="26" spans="1:6">
      <c r="B26" s="99"/>
      <c r="D26" s="2" t="s">
        <v>53</v>
      </c>
      <c r="E26" s="4">
        <f>SUM(E2:E25)</f>
        <v>5460</v>
      </c>
    </row>
  </sheetData>
  <hyperlinks>
    <hyperlink ref="B2" r:id="rId1" xr:uid="{00000000-0004-0000-1500-000000000000}"/>
    <hyperlink ref="B4" r:id="rId2" xr:uid="{00000000-0004-0000-1500-000001000000}"/>
  </hyperlinks>
  <pageMargins left="0.7" right="0.7" top="0.75" bottom="0.75" header="0.3" footer="0.3"/>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F26"/>
  <sheetViews>
    <sheetView workbookViewId="0">
      <pane ySplit="1" topLeftCell="A2" activePane="bottomLeft" state="frozen"/>
      <selection pane="bottomLeft" activeCell="B3" sqref="B3"/>
    </sheetView>
  </sheetViews>
  <sheetFormatPr defaultColWidth="12.5703125" defaultRowHeight="15.75" customHeight="1"/>
  <cols>
    <col min="1" max="1" width="5.140625" customWidth="1"/>
    <col min="2" max="2" width="67.5703125" customWidth="1"/>
    <col min="3" max="3" width="17" customWidth="1"/>
    <col min="6" max="6" width="17.28515625" customWidth="1"/>
    <col min="7" max="7" width="16.5703125" customWidth="1"/>
  </cols>
  <sheetData>
    <row r="1" spans="1:6">
      <c r="A1" s="1" t="s">
        <v>39</v>
      </c>
      <c r="B1" s="1" t="s">
        <v>0</v>
      </c>
      <c r="C1" s="1" t="s">
        <v>1</v>
      </c>
      <c r="D1" s="1" t="s">
        <v>3</v>
      </c>
      <c r="E1" s="1" t="s">
        <v>4</v>
      </c>
      <c r="F1" s="1" t="s">
        <v>5</v>
      </c>
    </row>
    <row r="2" spans="1:6">
      <c r="A2" s="2">
        <v>528</v>
      </c>
      <c r="B2" s="98" t="s">
        <v>255</v>
      </c>
      <c r="C2" s="2"/>
      <c r="D2" s="2">
        <v>14</v>
      </c>
      <c r="E2" s="4">
        <f t="shared" ref="E2:E25" si="0">35*D2</f>
        <v>490</v>
      </c>
      <c r="F2" s="2" t="s">
        <v>41</v>
      </c>
    </row>
    <row r="3" spans="1:6">
      <c r="A3" s="2">
        <v>496</v>
      </c>
      <c r="B3" s="102" t="s">
        <v>256</v>
      </c>
      <c r="C3" s="2"/>
      <c r="D3" s="2">
        <v>16</v>
      </c>
      <c r="E3" s="4">
        <f t="shared" si="0"/>
        <v>560</v>
      </c>
      <c r="F3" s="2" t="s">
        <v>41</v>
      </c>
    </row>
    <row r="4" spans="1:6">
      <c r="A4" s="2">
        <v>553</v>
      </c>
      <c r="B4" s="103" t="s">
        <v>257</v>
      </c>
      <c r="C4" s="2"/>
      <c r="D4" s="2">
        <v>3</v>
      </c>
      <c r="E4" s="4">
        <f t="shared" si="0"/>
        <v>105</v>
      </c>
      <c r="F4" s="2" t="s">
        <v>41</v>
      </c>
    </row>
    <row r="5" spans="1:6">
      <c r="A5" s="2">
        <v>563</v>
      </c>
      <c r="B5" s="3" t="s">
        <v>258</v>
      </c>
      <c r="C5" s="2"/>
      <c r="D5" s="2">
        <v>3</v>
      </c>
      <c r="E5" s="4">
        <f t="shared" si="0"/>
        <v>105</v>
      </c>
      <c r="F5" s="2" t="s">
        <v>41</v>
      </c>
    </row>
    <row r="6" spans="1:6">
      <c r="A6" s="2">
        <v>178</v>
      </c>
      <c r="B6" s="99" t="s">
        <v>259</v>
      </c>
      <c r="C6" s="2"/>
      <c r="D6" s="2">
        <v>3</v>
      </c>
      <c r="E6" s="4">
        <f t="shared" si="0"/>
        <v>105</v>
      </c>
      <c r="F6" s="2" t="s">
        <v>41</v>
      </c>
    </row>
    <row r="7" spans="1:6">
      <c r="A7" s="2">
        <v>564</v>
      </c>
      <c r="B7" s="2" t="s">
        <v>260</v>
      </c>
      <c r="C7" s="4"/>
      <c r="D7" s="2">
        <v>3</v>
      </c>
      <c r="E7" s="4">
        <f t="shared" si="0"/>
        <v>105</v>
      </c>
      <c r="F7" s="2" t="s">
        <v>41</v>
      </c>
    </row>
    <row r="8" spans="1:6">
      <c r="A8" s="2">
        <v>550</v>
      </c>
      <c r="B8" s="98" t="s">
        <v>261</v>
      </c>
      <c r="C8" s="4"/>
      <c r="D8" s="2">
        <v>49</v>
      </c>
      <c r="E8" s="4">
        <f t="shared" si="0"/>
        <v>1715</v>
      </c>
      <c r="F8" s="2" t="s">
        <v>41</v>
      </c>
    </row>
    <row r="9" spans="1:6">
      <c r="A9" s="2">
        <v>514</v>
      </c>
      <c r="B9" s="2" t="s">
        <v>262</v>
      </c>
      <c r="C9" s="4"/>
      <c r="D9" s="2">
        <v>4</v>
      </c>
      <c r="E9" s="4">
        <f t="shared" si="0"/>
        <v>140</v>
      </c>
      <c r="F9" s="2" t="s">
        <v>41</v>
      </c>
    </row>
    <row r="10" spans="1:6">
      <c r="A10" s="2">
        <v>179</v>
      </c>
      <c r="B10" s="104" t="s">
        <v>263</v>
      </c>
      <c r="C10" s="4"/>
      <c r="D10" s="2">
        <v>8</v>
      </c>
      <c r="E10" s="4">
        <f t="shared" si="0"/>
        <v>280</v>
      </c>
      <c r="F10" s="2" t="s">
        <v>41</v>
      </c>
    </row>
    <row r="11" spans="1:6">
      <c r="A11" s="2">
        <v>11</v>
      </c>
      <c r="B11" s="104" t="s">
        <v>264</v>
      </c>
      <c r="C11" s="4"/>
      <c r="D11" s="2">
        <v>4</v>
      </c>
      <c r="E11" s="4">
        <f t="shared" si="0"/>
        <v>140</v>
      </c>
      <c r="F11" s="2" t="s">
        <v>41</v>
      </c>
    </row>
    <row r="12" spans="1:6">
      <c r="A12" s="2">
        <v>176</v>
      </c>
      <c r="B12" s="98" t="s">
        <v>265</v>
      </c>
      <c r="C12" s="4"/>
      <c r="D12" s="2">
        <v>24</v>
      </c>
      <c r="E12" s="4">
        <f t="shared" si="0"/>
        <v>840</v>
      </c>
      <c r="F12" s="2" t="s">
        <v>41</v>
      </c>
    </row>
    <row r="13" spans="1:6">
      <c r="A13" s="2">
        <v>13</v>
      </c>
      <c r="B13" s="2" t="s">
        <v>266</v>
      </c>
      <c r="C13" s="4"/>
      <c r="D13" s="2">
        <v>2</v>
      </c>
      <c r="E13" s="4">
        <f t="shared" si="0"/>
        <v>70</v>
      </c>
      <c r="F13" s="2" t="s">
        <v>41</v>
      </c>
    </row>
    <row r="14" spans="1:6">
      <c r="A14" s="2">
        <v>562</v>
      </c>
      <c r="B14" s="2" t="s">
        <v>267</v>
      </c>
      <c r="C14" s="4"/>
      <c r="D14" s="2">
        <v>4</v>
      </c>
      <c r="E14" s="4">
        <f t="shared" si="0"/>
        <v>140</v>
      </c>
      <c r="F14" s="2" t="s">
        <v>41</v>
      </c>
    </row>
    <row r="15" spans="1:6">
      <c r="A15" s="2">
        <v>12</v>
      </c>
      <c r="B15" s="2" t="s">
        <v>268</v>
      </c>
      <c r="C15" s="4"/>
      <c r="D15" s="2">
        <v>1</v>
      </c>
      <c r="E15" s="4">
        <f t="shared" si="0"/>
        <v>35</v>
      </c>
      <c r="F15" s="2" t="s">
        <v>41</v>
      </c>
    </row>
    <row r="16" spans="1:6">
      <c r="A16" s="2">
        <v>548</v>
      </c>
      <c r="B16" s="2" t="s">
        <v>269</v>
      </c>
      <c r="C16" s="4"/>
      <c r="D16" s="104">
        <v>50</v>
      </c>
      <c r="E16" s="4">
        <f t="shared" si="0"/>
        <v>1750</v>
      </c>
      <c r="F16" s="2" t="s">
        <v>41</v>
      </c>
    </row>
    <row r="17" spans="1:6">
      <c r="A17" s="2">
        <v>559</v>
      </c>
      <c r="B17" s="3" t="s">
        <v>270</v>
      </c>
      <c r="C17" s="4"/>
      <c r="D17" s="2">
        <v>10</v>
      </c>
      <c r="E17" s="4">
        <f t="shared" si="0"/>
        <v>350</v>
      </c>
      <c r="F17" s="2" t="s">
        <v>41</v>
      </c>
    </row>
    <row r="18" spans="1:6">
      <c r="A18" s="2">
        <v>547</v>
      </c>
      <c r="B18" s="105" t="s">
        <v>271</v>
      </c>
      <c r="C18" s="4"/>
      <c r="D18" s="2">
        <v>12</v>
      </c>
      <c r="E18" s="4">
        <f t="shared" si="0"/>
        <v>420</v>
      </c>
      <c r="F18" s="2" t="s">
        <v>41</v>
      </c>
    </row>
    <row r="19" spans="1:6">
      <c r="A19" s="2">
        <v>174</v>
      </c>
      <c r="B19" s="2" t="s">
        <v>272</v>
      </c>
      <c r="C19" s="4"/>
      <c r="D19" s="2">
        <v>1</v>
      </c>
      <c r="E19" s="4">
        <f t="shared" si="0"/>
        <v>35</v>
      </c>
      <c r="F19" s="2" t="s">
        <v>41</v>
      </c>
    </row>
    <row r="20" spans="1:6">
      <c r="A20" s="2">
        <v>175</v>
      </c>
      <c r="B20" s="2" t="s">
        <v>273</v>
      </c>
      <c r="C20" s="4"/>
      <c r="D20" s="2">
        <v>1</v>
      </c>
      <c r="E20" s="4">
        <f t="shared" si="0"/>
        <v>35</v>
      </c>
      <c r="F20" s="2" t="s">
        <v>41</v>
      </c>
    </row>
    <row r="21" spans="1:6">
      <c r="A21" s="2">
        <v>549</v>
      </c>
      <c r="B21" s="2" t="s">
        <v>274</v>
      </c>
      <c r="C21" s="4"/>
      <c r="D21" s="2">
        <v>1</v>
      </c>
      <c r="E21" s="4">
        <f t="shared" si="0"/>
        <v>35</v>
      </c>
      <c r="F21" s="2" t="s">
        <v>41</v>
      </c>
    </row>
    <row r="22" spans="1:6">
      <c r="A22" s="2">
        <v>167</v>
      </c>
      <c r="B22" s="2" t="s">
        <v>275</v>
      </c>
      <c r="C22" s="4"/>
      <c r="D22" s="2">
        <v>18</v>
      </c>
      <c r="E22" s="4">
        <f t="shared" si="0"/>
        <v>630</v>
      </c>
      <c r="F22" s="2" t="s">
        <v>41</v>
      </c>
    </row>
    <row r="23" spans="1:6">
      <c r="A23" s="2">
        <v>169</v>
      </c>
      <c r="B23" s="2" t="s">
        <v>276</v>
      </c>
      <c r="C23" s="4"/>
      <c r="D23" s="2">
        <v>20</v>
      </c>
      <c r="E23" s="4">
        <f t="shared" si="0"/>
        <v>700</v>
      </c>
      <c r="F23" s="2" t="s">
        <v>41</v>
      </c>
    </row>
    <row r="24" spans="1:6">
      <c r="A24" s="2">
        <v>546</v>
      </c>
      <c r="B24" s="2" t="s">
        <v>277</v>
      </c>
      <c r="C24" s="4"/>
      <c r="D24" s="2">
        <v>8</v>
      </c>
      <c r="E24" s="4">
        <f t="shared" si="0"/>
        <v>280</v>
      </c>
      <c r="F24" s="2" t="s">
        <v>41</v>
      </c>
    </row>
    <row r="25" spans="1:6">
      <c r="A25" s="2">
        <v>554</v>
      </c>
      <c r="B25" s="2" t="s">
        <v>278</v>
      </c>
      <c r="C25" s="4"/>
      <c r="D25" s="2">
        <v>20</v>
      </c>
      <c r="E25" s="4">
        <f t="shared" si="0"/>
        <v>700</v>
      </c>
      <c r="F25" s="2" t="s">
        <v>41</v>
      </c>
    </row>
    <row r="26" spans="1:6">
      <c r="B26" s="99"/>
      <c r="D26" s="2" t="s">
        <v>53</v>
      </c>
      <c r="E26" s="4">
        <f>SUM(E2:E25)</f>
        <v>9765</v>
      </c>
    </row>
  </sheetData>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AA42"/>
  <sheetViews>
    <sheetView workbookViewId="0"/>
  </sheetViews>
  <sheetFormatPr defaultColWidth="12.5703125" defaultRowHeight="15.75" customHeight="1"/>
  <cols>
    <col min="1" max="1" width="4.85546875" customWidth="1"/>
    <col min="2" max="2" width="48.42578125" customWidth="1"/>
    <col min="6" max="6" width="12" customWidth="1"/>
  </cols>
  <sheetData>
    <row r="1" spans="1:27">
      <c r="A1" s="76" t="s">
        <v>11</v>
      </c>
      <c r="B1" s="76" t="s">
        <v>12</v>
      </c>
      <c r="C1" s="76" t="s">
        <v>3</v>
      </c>
      <c r="D1" s="76" t="s">
        <v>13</v>
      </c>
      <c r="E1" s="76" t="s">
        <v>4</v>
      </c>
    </row>
    <row r="2" spans="1:27">
      <c r="A2" s="2">
        <v>1</v>
      </c>
      <c r="B2" s="106" t="s">
        <v>14</v>
      </c>
      <c r="C2" s="15">
        <v>82</v>
      </c>
      <c r="D2" s="15">
        <v>30</v>
      </c>
      <c r="E2" s="15">
        <f t="shared" ref="E2:E10" si="0">D2*C2</f>
        <v>2460</v>
      </c>
    </row>
    <row r="3" spans="1:27">
      <c r="A3" s="2">
        <v>2</v>
      </c>
      <c r="B3" s="106" t="s">
        <v>15</v>
      </c>
      <c r="C3" s="107">
        <v>36</v>
      </c>
      <c r="D3" s="107">
        <v>25</v>
      </c>
      <c r="E3" s="107">
        <f t="shared" si="0"/>
        <v>900</v>
      </c>
    </row>
    <row r="4" spans="1:27">
      <c r="A4" s="2">
        <v>3</v>
      </c>
      <c r="B4" s="106" t="s">
        <v>279</v>
      </c>
      <c r="C4" s="107">
        <v>33</v>
      </c>
      <c r="D4" s="107">
        <v>25</v>
      </c>
      <c r="E4" s="107">
        <f t="shared" si="0"/>
        <v>825</v>
      </c>
    </row>
    <row r="5" spans="1:27">
      <c r="A5" s="2">
        <v>4</v>
      </c>
      <c r="B5" s="108" t="s">
        <v>17</v>
      </c>
      <c r="C5" s="19">
        <v>80</v>
      </c>
      <c r="D5" s="19">
        <v>50</v>
      </c>
      <c r="E5" s="19">
        <f t="shared" si="0"/>
        <v>4000</v>
      </c>
    </row>
    <row r="6" spans="1:27">
      <c r="A6" s="2">
        <v>5</v>
      </c>
      <c r="B6" s="109" t="s">
        <v>18</v>
      </c>
      <c r="C6" s="21">
        <v>277.5</v>
      </c>
      <c r="D6" s="21">
        <v>40</v>
      </c>
      <c r="E6" s="21">
        <f t="shared" si="0"/>
        <v>11100</v>
      </c>
    </row>
    <row r="7" spans="1:27">
      <c r="A7" s="2">
        <v>6</v>
      </c>
      <c r="B7" s="109" t="s">
        <v>19</v>
      </c>
      <c r="C7" s="110">
        <v>51</v>
      </c>
      <c r="D7" s="110">
        <v>40</v>
      </c>
      <c r="E7" s="110">
        <f t="shared" si="0"/>
        <v>2040</v>
      </c>
    </row>
    <row r="8" spans="1:27">
      <c r="A8" s="2">
        <v>7</v>
      </c>
      <c r="B8" s="111" t="s">
        <v>20</v>
      </c>
      <c r="C8" s="24">
        <v>64</v>
      </c>
      <c r="D8" s="24">
        <v>35</v>
      </c>
      <c r="E8" s="24">
        <f t="shared" si="0"/>
        <v>2240</v>
      </c>
    </row>
    <row r="9" spans="1:27">
      <c r="A9" s="2">
        <v>8</v>
      </c>
      <c r="B9" s="111" t="s">
        <v>20</v>
      </c>
      <c r="C9" s="24">
        <v>86.5</v>
      </c>
      <c r="D9" s="24">
        <v>35</v>
      </c>
      <c r="E9" s="24">
        <f t="shared" si="0"/>
        <v>3027.5</v>
      </c>
    </row>
    <row r="10" spans="1:27">
      <c r="A10" s="2">
        <v>9</v>
      </c>
      <c r="B10" s="111" t="s">
        <v>21</v>
      </c>
      <c r="C10" s="26">
        <v>70</v>
      </c>
      <c r="D10" s="26">
        <v>25</v>
      </c>
      <c r="E10" s="24">
        <f t="shared" si="0"/>
        <v>1750</v>
      </c>
    </row>
    <row r="11" spans="1:27">
      <c r="A11" s="495"/>
      <c r="B11" s="475"/>
      <c r="C11" s="475"/>
      <c r="D11" s="476"/>
      <c r="E11" s="27">
        <f>SUM(E2:E10)</f>
        <v>28342.5</v>
      </c>
    </row>
    <row r="13" spans="1:27">
      <c r="A13" s="112" t="s">
        <v>11</v>
      </c>
      <c r="B13" s="112" t="s">
        <v>0</v>
      </c>
      <c r="C13" s="112" t="s">
        <v>24</v>
      </c>
      <c r="D13" s="112" t="s">
        <v>25</v>
      </c>
      <c r="E13" s="112" t="s">
        <v>26</v>
      </c>
      <c r="F13" s="112" t="s">
        <v>27</v>
      </c>
      <c r="G13" s="112" t="s">
        <v>28</v>
      </c>
      <c r="H13" s="112" t="s">
        <v>21</v>
      </c>
      <c r="I13" s="113" t="s">
        <v>4</v>
      </c>
      <c r="J13" s="114"/>
      <c r="K13" s="114"/>
      <c r="L13" s="114"/>
      <c r="M13" s="114"/>
      <c r="N13" s="114"/>
      <c r="O13" s="114"/>
      <c r="P13" s="114"/>
      <c r="Q13" s="114"/>
      <c r="R13" s="114"/>
      <c r="S13" s="114"/>
      <c r="T13" s="114"/>
      <c r="U13" s="114"/>
      <c r="V13" s="114"/>
      <c r="W13" s="114"/>
      <c r="X13" s="114"/>
      <c r="Y13" s="114"/>
      <c r="Z13" s="114"/>
      <c r="AA13" s="114"/>
    </row>
    <row r="14" spans="1:27">
      <c r="A14" s="115">
        <v>1</v>
      </c>
      <c r="B14" s="115" t="s">
        <v>280</v>
      </c>
      <c r="C14" s="116"/>
      <c r="D14" s="116"/>
      <c r="E14" s="115">
        <v>4</v>
      </c>
      <c r="F14" s="116"/>
      <c r="G14" s="116"/>
      <c r="H14" s="116"/>
      <c r="I14" s="117">
        <f t="shared" ref="I14:I38" si="1">C14*25+D14*30+E14*50+F14*40+G14*35+H14*25</f>
        <v>200</v>
      </c>
    </row>
    <row r="15" spans="1:27">
      <c r="A15" s="115">
        <v>2</v>
      </c>
      <c r="B15" s="115" t="s">
        <v>281</v>
      </c>
      <c r="C15" s="115">
        <v>10</v>
      </c>
      <c r="D15" s="115">
        <v>25</v>
      </c>
      <c r="E15" s="116"/>
      <c r="F15" s="116"/>
      <c r="G15" s="116"/>
      <c r="H15" s="115">
        <v>70</v>
      </c>
      <c r="I15" s="117">
        <f t="shared" si="1"/>
        <v>2750</v>
      </c>
    </row>
    <row r="16" spans="1:27">
      <c r="A16" s="115">
        <v>3</v>
      </c>
      <c r="B16" s="115" t="s">
        <v>282</v>
      </c>
      <c r="C16" s="116"/>
      <c r="D16" s="116"/>
      <c r="E16" s="115">
        <v>1</v>
      </c>
      <c r="F16" s="115">
        <v>6</v>
      </c>
      <c r="G16" s="116"/>
      <c r="H16" s="116"/>
      <c r="I16" s="117">
        <f t="shared" si="1"/>
        <v>290</v>
      </c>
    </row>
    <row r="17" spans="1:9">
      <c r="A17" s="115">
        <v>4</v>
      </c>
      <c r="B17" s="115" t="s">
        <v>283</v>
      </c>
      <c r="C17" s="116"/>
      <c r="D17" s="116"/>
      <c r="E17" s="116"/>
      <c r="F17" s="115">
        <v>1</v>
      </c>
      <c r="G17" s="116"/>
      <c r="H17" s="116"/>
      <c r="I17" s="117">
        <f t="shared" si="1"/>
        <v>40</v>
      </c>
    </row>
    <row r="18" spans="1:9">
      <c r="A18" s="115">
        <v>5</v>
      </c>
      <c r="B18" s="115" t="s">
        <v>284</v>
      </c>
      <c r="C18" s="116"/>
      <c r="D18" s="116"/>
      <c r="E18" s="116"/>
      <c r="F18" s="116"/>
      <c r="G18" s="115">
        <v>2</v>
      </c>
      <c r="H18" s="116"/>
      <c r="I18" s="117">
        <f t="shared" si="1"/>
        <v>70</v>
      </c>
    </row>
    <row r="19" spans="1:9">
      <c r="A19" s="115">
        <v>6</v>
      </c>
      <c r="B19" s="118" t="s">
        <v>285</v>
      </c>
      <c r="C19" s="116"/>
      <c r="D19" s="116"/>
      <c r="E19" s="116"/>
      <c r="F19" s="116"/>
      <c r="G19" s="116"/>
      <c r="H19" s="116"/>
      <c r="I19" s="117">
        <f t="shared" si="1"/>
        <v>0</v>
      </c>
    </row>
    <row r="20" spans="1:9">
      <c r="A20" s="116"/>
      <c r="B20" s="119" t="s">
        <v>286</v>
      </c>
      <c r="C20" s="116"/>
      <c r="D20" s="116"/>
      <c r="E20" s="115">
        <v>38</v>
      </c>
      <c r="F20" s="115">
        <v>267.5</v>
      </c>
      <c r="G20" s="116"/>
      <c r="H20" s="116"/>
      <c r="I20" s="117">
        <f t="shared" si="1"/>
        <v>12600</v>
      </c>
    </row>
    <row r="21" spans="1:9">
      <c r="A21" s="116"/>
      <c r="B21" s="120" t="s">
        <v>287</v>
      </c>
      <c r="C21" s="116"/>
      <c r="D21" s="116"/>
      <c r="E21" s="115">
        <v>1</v>
      </c>
      <c r="F21" s="115">
        <v>5</v>
      </c>
      <c r="G21" s="116"/>
      <c r="H21" s="116"/>
      <c r="I21" s="117">
        <f t="shared" si="1"/>
        <v>250</v>
      </c>
    </row>
    <row r="22" spans="1:9">
      <c r="A22" s="116"/>
      <c r="B22" s="121" t="s">
        <v>288</v>
      </c>
      <c r="C22" s="116"/>
      <c r="D22" s="116"/>
      <c r="E22" s="116"/>
      <c r="F22" s="115">
        <v>8</v>
      </c>
      <c r="G22" s="116"/>
      <c r="H22" s="116"/>
      <c r="I22" s="117">
        <f t="shared" si="1"/>
        <v>320</v>
      </c>
    </row>
    <row r="23" spans="1:9">
      <c r="A23" s="116"/>
      <c r="B23" s="121" t="s">
        <v>289</v>
      </c>
      <c r="C23" s="116"/>
      <c r="D23" s="116"/>
      <c r="E23" s="116"/>
      <c r="F23" s="115">
        <v>5</v>
      </c>
      <c r="G23" s="116"/>
      <c r="H23" s="116"/>
      <c r="I23" s="117">
        <f t="shared" si="1"/>
        <v>200</v>
      </c>
    </row>
    <row r="24" spans="1:9">
      <c r="A24" s="116"/>
      <c r="B24" s="121" t="s">
        <v>290</v>
      </c>
      <c r="C24" s="116"/>
      <c r="D24" s="116"/>
      <c r="E24" s="116"/>
      <c r="F24" s="115">
        <v>6</v>
      </c>
      <c r="G24" s="116"/>
      <c r="H24" s="116"/>
      <c r="I24" s="117">
        <f t="shared" si="1"/>
        <v>240</v>
      </c>
    </row>
    <row r="25" spans="1:9">
      <c r="A25" s="115">
        <v>7</v>
      </c>
      <c r="B25" s="118" t="s">
        <v>291</v>
      </c>
      <c r="C25" s="116"/>
      <c r="D25" s="116"/>
      <c r="E25" s="116"/>
      <c r="F25" s="116"/>
      <c r="G25" s="116"/>
      <c r="H25" s="116"/>
      <c r="I25" s="117">
        <f t="shared" si="1"/>
        <v>0</v>
      </c>
    </row>
    <row r="26" spans="1:9">
      <c r="A26" s="116"/>
      <c r="B26" s="119" t="s">
        <v>292</v>
      </c>
      <c r="C26" s="115">
        <v>7</v>
      </c>
      <c r="D26" s="115">
        <v>16</v>
      </c>
      <c r="E26" s="115">
        <v>20</v>
      </c>
      <c r="F26" s="116"/>
      <c r="G26" s="115">
        <v>92.5</v>
      </c>
      <c r="H26" s="116"/>
      <c r="I26" s="117">
        <f t="shared" si="1"/>
        <v>4892.5</v>
      </c>
    </row>
    <row r="27" spans="1:9">
      <c r="A27" s="116"/>
      <c r="B27" s="121" t="s">
        <v>293</v>
      </c>
      <c r="C27" s="115">
        <v>1</v>
      </c>
      <c r="D27" s="116"/>
      <c r="E27" s="116"/>
      <c r="F27" s="116"/>
      <c r="G27" s="115">
        <v>10</v>
      </c>
      <c r="H27" s="116"/>
      <c r="I27" s="117">
        <f t="shared" si="1"/>
        <v>375</v>
      </c>
    </row>
    <row r="28" spans="1:9">
      <c r="A28" s="116"/>
      <c r="B28" s="119" t="s">
        <v>294</v>
      </c>
      <c r="C28" s="115">
        <v>1</v>
      </c>
      <c r="D28" s="116"/>
      <c r="E28" s="115">
        <v>4</v>
      </c>
      <c r="F28" s="116"/>
      <c r="G28" s="115">
        <v>15</v>
      </c>
      <c r="H28" s="116"/>
      <c r="I28" s="117">
        <f t="shared" si="1"/>
        <v>750</v>
      </c>
    </row>
    <row r="29" spans="1:9">
      <c r="A29" s="116"/>
      <c r="B29" s="121" t="s">
        <v>295</v>
      </c>
      <c r="C29" s="116"/>
      <c r="D29" s="116"/>
      <c r="E29" s="116"/>
      <c r="F29" s="116"/>
      <c r="G29" s="115">
        <v>5</v>
      </c>
      <c r="H29" s="116"/>
      <c r="I29" s="117">
        <f t="shared" si="1"/>
        <v>175</v>
      </c>
    </row>
    <row r="30" spans="1:9">
      <c r="A30" s="115">
        <v>8</v>
      </c>
      <c r="B30" s="115" t="s">
        <v>296</v>
      </c>
      <c r="C30" s="116"/>
      <c r="D30" s="116"/>
      <c r="E30" s="116"/>
      <c r="F30" s="115">
        <v>19</v>
      </c>
      <c r="G30" s="115">
        <v>7</v>
      </c>
      <c r="H30" s="116"/>
      <c r="I30" s="117">
        <f t="shared" si="1"/>
        <v>1005</v>
      </c>
    </row>
    <row r="31" spans="1:9">
      <c r="A31" s="115">
        <v>9</v>
      </c>
      <c r="B31" s="122" t="s">
        <v>297</v>
      </c>
      <c r="C31" s="115"/>
      <c r="D31" s="116"/>
      <c r="E31" s="116"/>
      <c r="F31" s="116"/>
      <c r="G31" s="116"/>
      <c r="H31" s="116"/>
      <c r="I31" s="117">
        <f t="shared" si="1"/>
        <v>0</v>
      </c>
    </row>
    <row r="32" spans="1:9">
      <c r="A32" s="116"/>
      <c r="B32" s="119" t="s">
        <v>298</v>
      </c>
      <c r="C32" s="115">
        <v>5</v>
      </c>
      <c r="D32" s="115">
        <v>2</v>
      </c>
      <c r="E32" s="115">
        <v>2</v>
      </c>
      <c r="F32" s="115">
        <v>11</v>
      </c>
      <c r="G32" s="115">
        <v>15</v>
      </c>
      <c r="H32" s="116"/>
      <c r="I32" s="117">
        <f t="shared" si="1"/>
        <v>1250</v>
      </c>
    </row>
    <row r="33" spans="1:9">
      <c r="A33" s="116"/>
      <c r="B33" s="119" t="s">
        <v>294</v>
      </c>
      <c r="C33" s="116"/>
      <c r="D33" s="116"/>
      <c r="E33" s="116"/>
      <c r="F33" s="116"/>
      <c r="G33" s="115">
        <v>4</v>
      </c>
      <c r="H33" s="116"/>
      <c r="I33" s="117">
        <f t="shared" si="1"/>
        <v>140</v>
      </c>
    </row>
    <row r="34" spans="1:9">
      <c r="A34" s="115">
        <v>10</v>
      </c>
      <c r="B34" s="115" t="s">
        <v>299</v>
      </c>
      <c r="C34" s="115">
        <v>20</v>
      </c>
      <c r="D34" s="115">
        <v>30</v>
      </c>
      <c r="E34" s="115">
        <v>5</v>
      </c>
      <c r="F34" s="116"/>
      <c r="G34" s="116"/>
      <c r="H34" s="116"/>
      <c r="I34" s="117">
        <f t="shared" si="1"/>
        <v>1650</v>
      </c>
    </row>
    <row r="35" spans="1:9">
      <c r="A35" s="115">
        <v>11</v>
      </c>
      <c r="B35" s="115" t="s">
        <v>300</v>
      </c>
      <c r="C35" s="115">
        <v>10</v>
      </c>
      <c r="D35" s="115">
        <v>3</v>
      </c>
      <c r="E35" s="115">
        <v>2</v>
      </c>
      <c r="F35" s="116"/>
      <c r="G35" s="116"/>
      <c r="H35" s="116"/>
      <c r="I35" s="117">
        <f t="shared" si="1"/>
        <v>440</v>
      </c>
    </row>
    <row r="36" spans="1:9">
      <c r="A36" s="115">
        <v>12</v>
      </c>
      <c r="B36" s="115" t="s">
        <v>301</v>
      </c>
      <c r="C36" s="115">
        <v>10</v>
      </c>
      <c r="D36" s="115">
        <v>3</v>
      </c>
      <c r="E36" s="115">
        <v>1</v>
      </c>
      <c r="F36" s="116"/>
      <c r="G36" s="116"/>
      <c r="H36" s="116"/>
      <c r="I36" s="117">
        <f t="shared" si="1"/>
        <v>390</v>
      </c>
    </row>
    <row r="37" spans="1:9">
      <c r="A37" s="115">
        <v>13</v>
      </c>
      <c r="B37" s="115" t="s">
        <v>302</v>
      </c>
      <c r="C37" s="115">
        <v>3</v>
      </c>
      <c r="D37" s="115">
        <v>1</v>
      </c>
      <c r="E37" s="115">
        <v>1</v>
      </c>
      <c r="F37" s="116"/>
      <c r="G37" s="116"/>
      <c r="H37" s="116"/>
      <c r="I37" s="117">
        <f t="shared" si="1"/>
        <v>155</v>
      </c>
    </row>
    <row r="38" spans="1:9">
      <c r="A38" s="115">
        <v>14</v>
      </c>
      <c r="B38" s="115" t="s">
        <v>303</v>
      </c>
      <c r="C38" s="115">
        <v>2</v>
      </c>
      <c r="D38" s="115">
        <v>2</v>
      </c>
      <c r="E38" s="115">
        <v>1</v>
      </c>
      <c r="F38" s="116"/>
      <c r="G38" s="116"/>
      <c r="H38" s="116"/>
      <c r="I38" s="117">
        <f t="shared" si="1"/>
        <v>160</v>
      </c>
    </row>
    <row r="39" spans="1:9">
      <c r="A39" s="496"/>
      <c r="B39" s="480"/>
      <c r="C39" s="480"/>
      <c r="D39" s="480"/>
      <c r="E39" s="480"/>
      <c r="F39" s="480"/>
      <c r="G39" s="480"/>
      <c r="H39" s="478"/>
      <c r="I39" s="117">
        <f>SUM(I14:I38)</f>
        <v>28342.5</v>
      </c>
    </row>
    <row r="41" spans="1:9">
      <c r="B41" s="6" t="s">
        <v>304</v>
      </c>
      <c r="C41" s="123">
        <f>SUM(I14:I16)+SUM(I19:I29)+SUM(I31:I36)</f>
        <v>26912.5</v>
      </c>
    </row>
    <row r="42" spans="1:9">
      <c r="B42" s="6" t="s">
        <v>305</v>
      </c>
      <c r="C42" s="123">
        <f>I39-C41</f>
        <v>1430</v>
      </c>
    </row>
  </sheetData>
  <mergeCells count="2">
    <mergeCell ref="A11:D11"/>
    <mergeCell ref="A39:H39"/>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AA44"/>
  <sheetViews>
    <sheetView workbookViewId="0"/>
  </sheetViews>
  <sheetFormatPr defaultColWidth="12.5703125" defaultRowHeight="15.75" customHeight="1"/>
  <cols>
    <col min="1" max="1" width="4.85546875" customWidth="1"/>
    <col min="2" max="2" width="48.42578125" customWidth="1"/>
    <col min="6" max="6" width="12" customWidth="1"/>
  </cols>
  <sheetData>
    <row r="1" spans="1:27" ht="12.75">
      <c r="A1" s="76"/>
      <c r="B1" s="76" t="s">
        <v>12</v>
      </c>
      <c r="C1" s="76" t="s">
        <v>3</v>
      </c>
      <c r="D1" s="76" t="s">
        <v>13</v>
      </c>
      <c r="E1" s="76" t="s">
        <v>4</v>
      </c>
    </row>
    <row r="2" spans="1:27" ht="12.75">
      <c r="A2" s="2">
        <v>1</v>
      </c>
      <c r="B2" s="106" t="s">
        <v>14</v>
      </c>
      <c r="C2" s="15">
        <f>SUM(D15:D29)</f>
        <v>88</v>
      </c>
      <c r="D2" s="15">
        <v>30</v>
      </c>
      <c r="E2" s="15">
        <f t="shared" ref="E2:E10" si="0">D2*C2</f>
        <v>2640</v>
      </c>
    </row>
    <row r="3" spans="1:27" ht="12.75">
      <c r="A3" s="2">
        <v>2</v>
      </c>
      <c r="B3" s="106" t="s">
        <v>15</v>
      </c>
      <c r="C3" s="107">
        <v>72</v>
      </c>
      <c r="D3" s="107">
        <v>25</v>
      </c>
      <c r="E3" s="107">
        <f t="shared" si="0"/>
        <v>1800</v>
      </c>
    </row>
    <row r="4" spans="1:27" ht="12.75">
      <c r="A4" s="2">
        <v>3</v>
      </c>
      <c r="B4" s="106" t="s">
        <v>279</v>
      </c>
      <c r="C4" s="107">
        <v>39</v>
      </c>
      <c r="D4" s="107">
        <v>25</v>
      </c>
      <c r="E4" s="107">
        <f t="shared" si="0"/>
        <v>975</v>
      </c>
    </row>
    <row r="5" spans="1:27" ht="12.75">
      <c r="A5" s="2">
        <v>4</v>
      </c>
      <c r="B5" s="108" t="s">
        <v>17</v>
      </c>
      <c r="C5" s="124">
        <v>60</v>
      </c>
      <c r="D5" s="19">
        <v>50</v>
      </c>
      <c r="E5" s="19">
        <f t="shared" si="0"/>
        <v>3000</v>
      </c>
    </row>
    <row r="6" spans="1:27" ht="12.75">
      <c r="A6" s="2">
        <v>5</v>
      </c>
      <c r="B6" s="109" t="s">
        <v>18</v>
      </c>
      <c r="C6" s="110">
        <v>232</v>
      </c>
      <c r="D6" s="21">
        <v>40</v>
      </c>
      <c r="E6" s="21">
        <f t="shared" si="0"/>
        <v>9280</v>
      </c>
    </row>
    <row r="7" spans="1:27" ht="12.75">
      <c r="A7" s="2">
        <v>6</v>
      </c>
      <c r="B7" s="109" t="s">
        <v>19</v>
      </c>
      <c r="C7" s="110">
        <v>41</v>
      </c>
      <c r="D7" s="110">
        <v>40</v>
      </c>
      <c r="E7" s="110">
        <f t="shared" si="0"/>
        <v>1640</v>
      </c>
    </row>
    <row r="8" spans="1:27" ht="12.75">
      <c r="A8" s="2">
        <v>7</v>
      </c>
      <c r="B8" s="111" t="s">
        <v>20</v>
      </c>
      <c r="C8" s="125">
        <v>66</v>
      </c>
      <c r="D8" s="24">
        <v>35</v>
      </c>
      <c r="E8" s="24">
        <f t="shared" si="0"/>
        <v>2310</v>
      </c>
    </row>
    <row r="9" spans="1:27" ht="12.75">
      <c r="A9" s="2">
        <v>8</v>
      </c>
      <c r="B9" s="111" t="s">
        <v>20</v>
      </c>
      <c r="C9" s="125">
        <v>58</v>
      </c>
      <c r="D9" s="24">
        <v>35</v>
      </c>
      <c r="E9" s="24">
        <f t="shared" si="0"/>
        <v>2030</v>
      </c>
    </row>
    <row r="10" spans="1:27" ht="12.75">
      <c r="A10" s="2">
        <v>9</v>
      </c>
      <c r="B10" s="111" t="s">
        <v>21</v>
      </c>
      <c r="C10" s="125">
        <v>0.5</v>
      </c>
      <c r="D10" s="26">
        <v>25</v>
      </c>
      <c r="E10" s="24">
        <f t="shared" si="0"/>
        <v>12.5</v>
      </c>
    </row>
    <row r="11" spans="1:27" ht="12.75">
      <c r="A11" s="495"/>
      <c r="B11" s="475"/>
      <c r="C11" s="475"/>
      <c r="D11" s="476"/>
      <c r="E11" s="27">
        <f>SUM(E2:E10)</f>
        <v>23687.5</v>
      </c>
    </row>
    <row r="13" spans="1:27" ht="12.75">
      <c r="A13" s="495"/>
      <c r="B13" s="476"/>
      <c r="C13" s="494" t="s">
        <v>22</v>
      </c>
      <c r="D13" s="475"/>
      <c r="E13" s="475"/>
      <c r="F13" s="475"/>
      <c r="G13" s="475"/>
      <c r="H13" s="475"/>
      <c r="I13" s="476"/>
      <c r="J13" s="497" t="s">
        <v>23</v>
      </c>
      <c r="K13" s="475"/>
      <c r="L13" s="475"/>
      <c r="M13" s="475"/>
      <c r="N13" s="475"/>
      <c r="O13" s="475"/>
      <c r="P13" s="476"/>
    </row>
    <row r="14" spans="1:27" ht="25.5">
      <c r="A14" s="126" t="s">
        <v>11</v>
      </c>
      <c r="B14" s="126" t="s">
        <v>0</v>
      </c>
      <c r="C14" s="126" t="s">
        <v>24</v>
      </c>
      <c r="D14" s="126" t="s">
        <v>25</v>
      </c>
      <c r="E14" s="126" t="s">
        <v>26</v>
      </c>
      <c r="F14" s="126" t="s">
        <v>27</v>
      </c>
      <c r="G14" s="126" t="s">
        <v>28</v>
      </c>
      <c r="H14" s="126" t="s">
        <v>21</v>
      </c>
      <c r="I14" s="127" t="s">
        <v>29</v>
      </c>
      <c r="J14" s="128" t="s">
        <v>24</v>
      </c>
      <c r="K14" s="128" t="s">
        <v>25</v>
      </c>
      <c r="L14" s="128" t="s">
        <v>26</v>
      </c>
      <c r="M14" s="128" t="s">
        <v>27</v>
      </c>
      <c r="N14" s="128" t="s">
        <v>28</v>
      </c>
      <c r="O14" s="128" t="s">
        <v>21</v>
      </c>
      <c r="P14" s="129" t="s">
        <v>30</v>
      </c>
      <c r="Q14" s="130" t="s">
        <v>5</v>
      </c>
      <c r="R14" s="114"/>
      <c r="S14" s="114"/>
      <c r="T14" s="114"/>
      <c r="U14" s="114"/>
      <c r="V14" s="114"/>
      <c r="W14" s="114"/>
      <c r="X14" s="114"/>
      <c r="Y14" s="114"/>
      <c r="Z14" s="114"/>
      <c r="AA14" s="114"/>
    </row>
    <row r="15" spans="1:27" ht="12.75">
      <c r="A15" s="115">
        <v>1</v>
      </c>
      <c r="B15" s="115" t="s">
        <v>306</v>
      </c>
      <c r="C15" s="115">
        <v>36</v>
      </c>
      <c r="D15" s="115">
        <v>40</v>
      </c>
      <c r="E15" s="115"/>
      <c r="F15" s="116"/>
      <c r="G15" s="116"/>
      <c r="H15" s="116"/>
      <c r="I15" s="117">
        <f t="shared" ref="I15:I40" si="1">C15*25+D15*30+E15*50+F15*40+G15*35+H15*25</f>
        <v>2100</v>
      </c>
      <c r="J15" s="131">
        <v>62</v>
      </c>
      <c r="K15" s="131">
        <v>27</v>
      </c>
      <c r="L15" s="131"/>
      <c r="M15" s="132"/>
      <c r="N15" s="132"/>
      <c r="O15" s="132"/>
      <c r="P15" s="133">
        <f t="shared" ref="P15:P29" si="2">J15*25+K15*30+L15*50+M15*40+N15*35+O15*25</f>
        <v>2360</v>
      </c>
      <c r="Q15" s="2" t="s">
        <v>41</v>
      </c>
    </row>
    <row r="16" spans="1:27" ht="12.75">
      <c r="A16" s="115">
        <v>2</v>
      </c>
      <c r="B16" s="134" t="s">
        <v>307</v>
      </c>
      <c r="C16" s="115">
        <v>1</v>
      </c>
      <c r="D16" s="115"/>
      <c r="E16" s="115">
        <v>1</v>
      </c>
      <c r="F16" s="115">
        <v>5</v>
      </c>
      <c r="G16" s="116"/>
      <c r="H16" s="115"/>
      <c r="I16" s="117">
        <f t="shared" si="1"/>
        <v>275</v>
      </c>
      <c r="J16" s="131">
        <v>1</v>
      </c>
      <c r="K16" s="131"/>
      <c r="L16" s="131">
        <v>1</v>
      </c>
      <c r="M16" s="131">
        <v>6</v>
      </c>
      <c r="N16" s="132"/>
      <c r="O16" s="131"/>
      <c r="P16" s="133">
        <f t="shared" si="2"/>
        <v>315</v>
      </c>
      <c r="Q16" s="2" t="s">
        <v>41</v>
      </c>
    </row>
    <row r="17" spans="1:17" ht="12.75">
      <c r="A17" s="115">
        <v>3</v>
      </c>
      <c r="B17" s="115" t="s">
        <v>308</v>
      </c>
      <c r="C17" s="115">
        <v>5</v>
      </c>
      <c r="D17" s="115">
        <v>2</v>
      </c>
      <c r="E17" s="115"/>
      <c r="F17" s="116"/>
      <c r="G17" s="116"/>
      <c r="H17" s="116"/>
      <c r="I17" s="117">
        <f t="shared" si="1"/>
        <v>185</v>
      </c>
      <c r="J17" s="131">
        <v>6</v>
      </c>
      <c r="K17" s="131">
        <v>2</v>
      </c>
      <c r="L17" s="131"/>
      <c r="M17" s="132"/>
      <c r="N17" s="132"/>
      <c r="O17" s="132"/>
      <c r="P17" s="133">
        <f t="shared" si="2"/>
        <v>210</v>
      </c>
      <c r="Q17" s="2" t="s">
        <v>41</v>
      </c>
    </row>
    <row r="18" spans="1:17" ht="12.75">
      <c r="A18" s="115">
        <v>4</v>
      </c>
      <c r="B18" s="115" t="s">
        <v>309</v>
      </c>
      <c r="C18" s="115">
        <v>2</v>
      </c>
      <c r="D18" s="115">
        <v>1</v>
      </c>
      <c r="E18" s="115">
        <v>5</v>
      </c>
      <c r="F18" s="115">
        <v>24</v>
      </c>
      <c r="G18" s="116">
        <v>4</v>
      </c>
      <c r="H18" s="116"/>
      <c r="I18" s="117">
        <f t="shared" si="1"/>
        <v>1430</v>
      </c>
      <c r="J18" s="131">
        <v>2</v>
      </c>
      <c r="K18" s="132"/>
      <c r="L18" s="131">
        <v>5</v>
      </c>
      <c r="M18" s="131">
        <v>36</v>
      </c>
      <c r="N18" s="132">
        <v>4</v>
      </c>
      <c r="O18" s="132"/>
      <c r="P18" s="133">
        <f t="shared" si="2"/>
        <v>1880</v>
      </c>
      <c r="Q18" s="2" t="s">
        <v>41</v>
      </c>
    </row>
    <row r="19" spans="1:17" ht="12.75">
      <c r="A19" s="115">
        <v>5</v>
      </c>
      <c r="B19" s="115" t="s">
        <v>310</v>
      </c>
      <c r="C19" s="115">
        <v>2</v>
      </c>
      <c r="D19" s="116"/>
      <c r="E19" s="115"/>
      <c r="F19" s="115">
        <v>3</v>
      </c>
      <c r="G19" s="135"/>
      <c r="H19" s="116"/>
      <c r="I19" s="117">
        <f t="shared" si="1"/>
        <v>170</v>
      </c>
      <c r="J19" s="131">
        <v>2</v>
      </c>
      <c r="K19" s="132"/>
      <c r="L19" s="131"/>
      <c r="M19" s="131">
        <v>5</v>
      </c>
      <c r="N19" s="136"/>
      <c r="O19" s="132"/>
      <c r="P19" s="133">
        <f t="shared" si="2"/>
        <v>250</v>
      </c>
      <c r="Q19" s="2" t="s">
        <v>41</v>
      </c>
    </row>
    <row r="20" spans="1:17" ht="12.75">
      <c r="A20" s="115">
        <v>6</v>
      </c>
      <c r="B20" s="115" t="s">
        <v>311</v>
      </c>
      <c r="C20" s="115">
        <v>24</v>
      </c>
      <c r="D20" s="115">
        <v>22</v>
      </c>
      <c r="E20" s="115">
        <v>22</v>
      </c>
      <c r="F20" s="115">
        <v>100</v>
      </c>
      <c r="G20" s="115">
        <v>34</v>
      </c>
      <c r="H20" s="116"/>
      <c r="I20" s="117">
        <f t="shared" si="1"/>
        <v>7550</v>
      </c>
      <c r="J20" s="131">
        <v>32</v>
      </c>
      <c r="K20" s="131">
        <v>10</v>
      </c>
      <c r="L20" s="131">
        <v>18</v>
      </c>
      <c r="M20" s="131">
        <v>104</v>
      </c>
      <c r="N20" s="131">
        <v>31</v>
      </c>
      <c r="O20" s="132"/>
      <c r="P20" s="133">
        <f t="shared" si="2"/>
        <v>7245</v>
      </c>
      <c r="Q20" s="2" t="s">
        <v>41</v>
      </c>
    </row>
    <row r="21" spans="1:17" ht="12.75">
      <c r="A21" s="115">
        <v>7</v>
      </c>
      <c r="B21" s="115" t="s">
        <v>312</v>
      </c>
      <c r="C21" s="115">
        <v>2</v>
      </c>
      <c r="D21" s="115">
        <v>1</v>
      </c>
      <c r="E21" s="115">
        <v>1</v>
      </c>
      <c r="F21" s="115">
        <v>7</v>
      </c>
      <c r="G21" s="116"/>
      <c r="H21" s="116"/>
      <c r="I21" s="117">
        <f t="shared" si="1"/>
        <v>410</v>
      </c>
      <c r="J21" s="131">
        <v>2</v>
      </c>
      <c r="K21" s="132"/>
      <c r="L21" s="131">
        <v>1</v>
      </c>
      <c r="M21" s="131">
        <v>5</v>
      </c>
      <c r="N21" s="132"/>
      <c r="O21" s="132"/>
      <c r="P21" s="133">
        <f t="shared" si="2"/>
        <v>300</v>
      </c>
      <c r="Q21" s="2" t="s">
        <v>41</v>
      </c>
    </row>
    <row r="22" spans="1:17" ht="12.75">
      <c r="A22" s="115">
        <v>8</v>
      </c>
      <c r="B22" s="115" t="s">
        <v>313</v>
      </c>
      <c r="C22" s="115">
        <v>22</v>
      </c>
      <c r="D22" s="115">
        <v>16</v>
      </c>
      <c r="E22" s="115">
        <v>14</v>
      </c>
      <c r="F22" s="115">
        <v>78</v>
      </c>
      <c r="G22" s="115">
        <v>16</v>
      </c>
      <c r="H22" s="116"/>
      <c r="I22" s="117">
        <f t="shared" si="1"/>
        <v>5410</v>
      </c>
      <c r="J22" s="131">
        <v>24</v>
      </c>
      <c r="K22" s="131">
        <v>20</v>
      </c>
      <c r="L22" s="131">
        <v>13</v>
      </c>
      <c r="M22" s="131">
        <v>88</v>
      </c>
      <c r="N22" s="131">
        <v>15</v>
      </c>
      <c r="O22" s="132"/>
      <c r="P22" s="133">
        <f t="shared" si="2"/>
        <v>5895</v>
      </c>
      <c r="Q22" s="2" t="s">
        <v>41</v>
      </c>
    </row>
    <row r="23" spans="1:17" ht="12.75">
      <c r="A23" s="115">
        <v>9</v>
      </c>
      <c r="B23" s="115" t="s">
        <v>314</v>
      </c>
      <c r="C23" s="115">
        <v>3</v>
      </c>
      <c r="D23" s="116"/>
      <c r="E23" s="115"/>
      <c r="F23" s="116"/>
      <c r="G23" s="115">
        <v>5</v>
      </c>
      <c r="H23" s="115">
        <v>0.5</v>
      </c>
      <c r="I23" s="117">
        <f t="shared" si="1"/>
        <v>262.5</v>
      </c>
      <c r="J23" s="131">
        <v>3</v>
      </c>
      <c r="K23" s="132"/>
      <c r="L23" s="131"/>
      <c r="M23" s="132"/>
      <c r="N23" s="132">
        <v>3</v>
      </c>
      <c r="O23" s="132"/>
      <c r="P23" s="133">
        <f t="shared" si="2"/>
        <v>180</v>
      </c>
      <c r="Q23" s="2" t="s">
        <v>41</v>
      </c>
    </row>
    <row r="24" spans="1:17" ht="12.75">
      <c r="A24" s="115">
        <v>10</v>
      </c>
      <c r="B24" s="115" t="s">
        <v>315</v>
      </c>
      <c r="C24" s="115">
        <v>1</v>
      </c>
      <c r="D24" s="116"/>
      <c r="E24" s="115"/>
      <c r="F24" s="115">
        <v>5</v>
      </c>
      <c r="G24" s="116"/>
      <c r="H24" s="116"/>
      <c r="I24" s="117">
        <f t="shared" si="1"/>
        <v>225</v>
      </c>
      <c r="J24" s="131">
        <v>1</v>
      </c>
      <c r="K24" s="132"/>
      <c r="L24" s="131"/>
      <c r="M24" s="131">
        <v>5</v>
      </c>
      <c r="N24" s="132"/>
      <c r="O24" s="132"/>
      <c r="P24" s="133">
        <f t="shared" si="2"/>
        <v>225</v>
      </c>
      <c r="Q24" s="2" t="s">
        <v>72</v>
      </c>
    </row>
    <row r="25" spans="1:17" ht="12.75">
      <c r="A25" s="115">
        <v>11</v>
      </c>
      <c r="B25" s="115" t="s">
        <v>316</v>
      </c>
      <c r="C25" s="115">
        <v>2</v>
      </c>
      <c r="D25" s="115">
        <v>1</v>
      </c>
      <c r="E25" s="115">
        <v>2</v>
      </c>
      <c r="F25" s="115">
        <v>5</v>
      </c>
      <c r="G25" s="115">
        <v>12</v>
      </c>
      <c r="H25" s="116"/>
      <c r="I25" s="117">
        <f t="shared" si="1"/>
        <v>800</v>
      </c>
      <c r="J25" s="131">
        <v>2</v>
      </c>
      <c r="K25" s="132"/>
      <c r="L25" s="131">
        <v>2</v>
      </c>
      <c r="M25" s="132"/>
      <c r="N25" s="132">
        <v>10</v>
      </c>
      <c r="O25" s="132"/>
      <c r="P25" s="133">
        <f t="shared" si="2"/>
        <v>500</v>
      </c>
      <c r="Q25" s="2" t="s">
        <v>41</v>
      </c>
    </row>
    <row r="26" spans="1:17" ht="12.75">
      <c r="A26" s="115">
        <v>12</v>
      </c>
      <c r="B26" s="115" t="s">
        <v>317</v>
      </c>
      <c r="C26" s="115">
        <v>1</v>
      </c>
      <c r="D26" s="116"/>
      <c r="E26" s="115">
        <v>2</v>
      </c>
      <c r="F26" s="115">
        <v>8</v>
      </c>
      <c r="G26" s="116"/>
      <c r="H26" s="116"/>
      <c r="I26" s="117">
        <f t="shared" si="1"/>
        <v>445</v>
      </c>
      <c r="J26" s="131">
        <v>1</v>
      </c>
      <c r="K26" s="132"/>
      <c r="L26" s="131">
        <v>2</v>
      </c>
      <c r="M26" s="131">
        <v>10</v>
      </c>
      <c r="N26" s="132"/>
      <c r="O26" s="132"/>
      <c r="P26" s="133">
        <f t="shared" si="2"/>
        <v>525</v>
      </c>
      <c r="Q26" s="2" t="s">
        <v>41</v>
      </c>
    </row>
    <row r="27" spans="1:17" ht="12.75">
      <c r="A27" s="115">
        <v>13</v>
      </c>
      <c r="B27" s="2" t="s">
        <v>318</v>
      </c>
      <c r="C27" s="115">
        <v>4</v>
      </c>
      <c r="D27" s="115">
        <v>4</v>
      </c>
      <c r="E27" s="115">
        <v>9</v>
      </c>
      <c r="F27" s="115">
        <v>25</v>
      </c>
      <c r="G27" s="115">
        <v>20</v>
      </c>
      <c r="H27" s="116"/>
      <c r="I27" s="117">
        <f t="shared" si="1"/>
        <v>2370</v>
      </c>
      <c r="J27" s="131">
        <v>4</v>
      </c>
      <c r="K27" s="131">
        <v>1</v>
      </c>
      <c r="L27" s="131">
        <v>8</v>
      </c>
      <c r="M27" s="131">
        <v>66</v>
      </c>
      <c r="N27" s="132"/>
      <c r="O27" s="132"/>
      <c r="P27" s="133">
        <f t="shared" si="2"/>
        <v>3170</v>
      </c>
      <c r="Q27" s="2" t="s">
        <v>41</v>
      </c>
    </row>
    <row r="28" spans="1:17" ht="12.75">
      <c r="A28" s="115">
        <v>14</v>
      </c>
      <c r="B28" s="115" t="s">
        <v>319</v>
      </c>
      <c r="C28" s="115">
        <v>1</v>
      </c>
      <c r="D28" s="115"/>
      <c r="E28" s="115">
        <v>1</v>
      </c>
      <c r="F28" s="115">
        <v>10</v>
      </c>
      <c r="G28" s="135">
        <v>2</v>
      </c>
      <c r="H28" s="116"/>
      <c r="I28" s="117">
        <f t="shared" si="1"/>
        <v>545</v>
      </c>
      <c r="J28" s="131">
        <v>1</v>
      </c>
      <c r="K28" s="131"/>
      <c r="L28" s="131">
        <v>1</v>
      </c>
      <c r="M28" s="131">
        <v>8</v>
      </c>
      <c r="N28" s="136">
        <v>2</v>
      </c>
      <c r="O28" s="132"/>
      <c r="P28" s="137">
        <f t="shared" si="2"/>
        <v>465</v>
      </c>
      <c r="Q28" s="2" t="s">
        <v>41</v>
      </c>
    </row>
    <row r="29" spans="1:17" ht="12.75">
      <c r="A29" s="115">
        <v>15</v>
      </c>
      <c r="B29" s="115" t="s">
        <v>320</v>
      </c>
      <c r="C29" s="115">
        <v>5</v>
      </c>
      <c r="D29" s="115">
        <v>1</v>
      </c>
      <c r="E29" s="115">
        <v>3</v>
      </c>
      <c r="F29" s="115">
        <v>3</v>
      </c>
      <c r="G29" s="115">
        <v>31</v>
      </c>
      <c r="H29" s="116"/>
      <c r="I29" s="117">
        <f t="shared" si="1"/>
        <v>1510</v>
      </c>
      <c r="J29" s="131">
        <v>5</v>
      </c>
      <c r="K29" s="131">
        <v>1</v>
      </c>
      <c r="L29" s="131">
        <v>3</v>
      </c>
      <c r="M29" s="131">
        <v>31</v>
      </c>
      <c r="N29" s="131">
        <v>10</v>
      </c>
      <c r="O29" s="138"/>
      <c r="P29" s="139">
        <f t="shared" si="2"/>
        <v>1895</v>
      </c>
      <c r="Q29" s="2" t="s">
        <v>41</v>
      </c>
    </row>
    <row r="30" spans="1:17" ht="12.75" hidden="1">
      <c r="A30" s="115"/>
      <c r="B30" s="119"/>
      <c r="C30" s="115"/>
      <c r="D30" s="116"/>
      <c r="E30" s="115"/>
      <c r="F30" s="116"/>
      <c r="G30" s="115"/>
      <c r="H30" s="116"/>
      <c r="I30" s="117">
        <f t="shared" si="1"/>
        <v>0</v>
      </c>
      <c r="J30" s="140"/>
      <c r="K30" s="140"/>
      <c r="L30" s="140"/>
      <c r="M30" s="140"/>
      <c r="N30" s="140"/>
      <c r="O30" s="140"/>
      <c r="P30" s="141"/>
    </row>
    <row r="31" spans="1:17" ht="12.75" hidden="1">
      <c r="A31" s="115"/>
      <c r="B31" s="121"/>
      <c r="C31" s="116"/>
      <c r="D31" s="116"/>
      <c r="E31" s="116"/>
      <c r="F31" s="116"/>
      <c r="G31" s="115"/>
      <c r="H31" s="116"/>
      <c r="I31" s="117">
        <f t="shared" si="1"/>
        <v>0</v>
      </c>
      <c r="J31" s="140"/>
      <c r="K31" s="140"/>
      <c r="L31" s="140"/>
      <c r="M31" s="140"/>
      <c r="N31" s="140"/>
      <c r="O31" s="140"/>
      <c r="P31" s="141"/>
    </row>
    <row r="32" spans="1:17" ht="12.75" hidden="1">
      <c r="A32" s="115"/>
      <c r="B32" s="115"/>
      <c r="C32" s="116"/>
      <c r="D32" s="116"/>
      <c r="E32" s="116"/>
      <c r="F32" s="115"/>
      <c r="G32" s="115"/>
      <c r="H32" s="116"/>
      <c r="I32" s="117">
        <f t="shared" si="1"/>
        <v>0</v>
      </c>
      <c r="J32" s="140"/>
      <c r="K32" s="140"/>
      <c r="L32" s="140"/>
      <c r="M32" s="140"/>
      <c r="N32" s="140"/>
      <c r="O32" s="140"/>
      <c r="P32" s="141"/>
    </row>
    <row r="33" spans="1:16" ht="12.75" hidden="1">
      <c r="A33" s="115"/>
      <c r="B33" s="122"/>
      <c r="C33" s="115"/>
      <c r="D33" s="116"/>
      <c r="E33" s="116"/>
      <c r="F33" s="116"/>
      <c r="G33" s="116"/>
      <c r="H33" s="116"/>
      <c r="I33" s="117">
        <f t="shared" si="1"/>
        <v>0</v>
      </c>
      <c r="J33" s="140"/>
      <c r="K33" s="140"/>
      <c r="L33" s="140"/>
      <c r="M33" s="140"/>
      <c r="N33" s="140"/>
      <c r="O33" s="140"/>
      <c r="P33" s="141"/>
    </row>
    <row r="34" spans="1:16" ht="12.75" hidden="1">
      <c r="A34" s="116"/>
      <c r="B34" s="119"/>
      <c r="C34" s="115"/>
      <c r="D34" s="115"/>
      <c r="E34" s="115"/>
      <c r="F34" s="115"/>
      <c r="G34" s="115"/>
      <c r="H34" s="116"/>
      <c r="I34" s="117">
        <f t="shared" si="1"/>
        <v>0</v>
      </c>
      <c r="J34" s="140"/>
      <c r="K34" s="140"/>
      <c r="L34" s="140"/>
      <c r="M34" s="140"/>
      <c r="N34" s="140"/>
      <c r="O34" s="140"/>
      <c r="P34" s="141"/>
    </row>
    <row r="35" spans="1:16" ht="12.75" hidden="1">
      <c r="A35" s="116"/>
      <c r="B35" s="119"/>
      <c r="C35" s="116"/>
      <c r="D35" s="116"/>
      <c r="E35" s="116"/>
      <c r="F35" s="116"/>
      <c r="G35" s="115"/>
      <c r="H35" s="116"/>
      <c r="I35" s="117">
        <f t="shared" si="1"/>
        <v>0</v>
      </c>
      <c r="J35" s="140"/>
      <c r="K35" s="140"/>
      <c r="L35" s="140"/>
      <c r="M35" s="140"/>
      <c r="N35" s="140"/>
      <c r="O35" s="140"/>
      <c r="P35" s="141"/>
    </row>
    <row r="36" spans="1:16" ht="12.75" hidden="1">
      <c r="A36" s="115"/>
      <c r="B36" s="115"/>
      <c r="C36" s="115"/>
      <c r="D36" s="115"/>
      <c r="E36" s="115"/>
      <c r="F36" s="116"/>
      <c r="G36" s="116"/>
      <c r="H36" s="116"/>
      <c r="I36" s="117">
        <f t="shared" si="1"/>
        <v>0</v>
      </c>
      <c r="J36" s="140"/>
      <c r="K36" s="140"/>
      <c r="L36" s="140"/>
      <c r="M36" s="140"/>
      <c r="N36" s="140"/>
      <c r="O36" s="140"/>
      <c r="P36" s="141"/>
    </row>
    <row r="37" spans="1:16" ht="12.75" hidden="1">
      <c r="A37" s="115"/>
      <c r="B37" s="115"/>
      <c r="C37" s="115"/>
      <c r="D37" s="115"/>
      <c r="E37" s="115"/>
      <c r="F37" s="116"/>
      <c r="G37" s="116"/>
      <c r="H37" s="116"/>
      <c r="I37" s="117">
        <f t="shared" si="1"/>
        <v>0</v>
      </c>
      <c r="J37" s="140"/>
      <c r="K37" s="140"/>
      <c r="L37" s="140"/>
      <c r="M37" s="140"/>
      <c r="N37" s="140"/>
      <c r="O37" s="140"/>
      <c r="P37" s="141"/>
    </row>
    <row r="38" spans="1:16" ht="12.75" hidden="1">
      <c r="A38" s="115"/>
      <c r="B38" s="115"/>
      <c r="C38" s="115"/>
      <c r="D38" s="115"/>
      <c r="E38" s="115"/>
      <c r="F38" s="116"/>
      <c r="G38" s="116"/>
      <c r="H38" s="116"/>
      <c r="I38" s="117">
        <f t="shared" si="1"/>
        <v>0</v>
      </c>
      <c r="J38" s="140"/>
      <c r="K38" s="140"/>
      <c r="L38" s="140"/>
      <c r="M38" s="140"/>
      <c r="N38" s="140"/>
      <c r="O38" s="140"/>
      <c r="P38" s="141"/>
    </row>
    <row r="39" spans="1:16" ht="12.75" hidden="1">
      <c r="A39" s="115"/>
      <c r="B39" s="115"/>
      <c r="C39" s="115"/>
      <c r="D39" s="115"/>
      <c r="E39" s="115"/>
      <c r="F39" s="116"/>
      <c r="G39" s="116"/>
      <c r="H39" s="116"/>
      <c r="I39" s="117">
        <f t="shared" si="1"/>
        <v>0</v>
      </c>
      <c r="J39" s="140"/>
      <c r="K39" s="140"/>
      <c r="L39" s="140"/>
      <c r="M39" s="140"/>
      <c r="N39" s="140"/>
      <c r="O39" s="140"/>
      <c r="P39" s="141"/>
    </row>
    <row r="40" spans="1:16" ht="12.75" hidden="1">
      <c r="A40" s="115"/>
      <c r="B40" s="115"/>
      <c r="C40" s="115"/>
      <c r="D40" s="115"/>
      <c r="E40" s="115"/>
      <c r="F40" s="116"/>
      <c r="G40" s="116"/>
      <c r="H40" s="116"/>
      <c r="I40" s="117">
        <f t="shared" si="1"/>
        <v>0</v>
      </c>
      <c r="J40" s="140"/>
      <c r="K40" s="140"/>
      <c r="L40" s="140"/>
      <c r="M40" s="140"/>
      <c r="N40" s="140"/>
      <c r="O40" s="140"/>
      <c r="P40" s="141"/>
    </row>
    <row r="41" spans="1:16" ht="12.75">
      <c r="A41" s="496"/>
      <c r="B41" s="480"/>
      <c r="C41" s="480"/>
      <c r="D41" s="480"/>
      <c r="E41" s="480"/>
      <c r="F41" s="480"/>
      <c r="G41" s="480"/>
      <c r="H41" s="478"/>
      <c r="I41" s="117">
        <f>SUM(I15:I40)</f>
        <v>23687.5</v>
      </c>
      <c r="J41" s="140"/>
      <c r="K41" s="140"/>
      <c r="L41" s="140"/>
      <c r="M41" s="140"/>
      <c r="N41" s="140"/>
      <c r="O41" s="140"/>
      <c r="P41" s="139">
        <f>SUM(P15:P29)</f>
        <v>25415</v>
      </c>
    </row>
    <row r="43" spans="1:16" ht="12.75">
      <c r="B43" s="6" t="s">
        <v>304</v>
      </c>
      <c r="C43" s="123">
        <f>I15+I16+I17+I20+I22+I27</f>
        <v>17890</v>
      </c>
    </row>
    <row r="44" spans="1:16" ht="12.75">
      <c r="B44" s="6" t="s">
        <v>305</v>
      </c>
      <c r="C44" s="123">
        <f>I41-C43</f>
        <v>5797.5</v>
      </c>
    </row>
  </sheetData>
  <mergeCells count="5">
    <mergeCell ref="A11:D11"/>
    <mergeCell ref="A13:B13"/>
    <mergeCell ref="C13:I13"/>
    <mergeCell ref="J13:P13"/>
    <mergeCell ref="A41:H4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Q48"/>
  <sheetViews>
    <sheetView workbookViewId="0"/>
  </sheetViews>
  <sheetFormatPr defaultColWidth="12.5703125" defaultRowHeight="15.75" customHeight="1"/>
  <cols>
    <col min="1" max="1" width="4.85546875" customWidth="1"/>
    <col min="2" max="2" width="48.42578125" customWidth="1"/>
    <col min="6" max="6" width="12" customWidth="1"/>
  </cols>
  <sheetData>
    <row r="1" spans="1:17">
      <c r="A1" s="76" t="s">
        <v>11</v>
      </c>
      <c r="B1" s="76" t="s">
        <v>12</v>
      </c>
      <c r="C1" s="76" t="s">
        <v>3</v>
      </c>
      <c r="D1" s="76" t="s">
        <v>13</v>
      </c>
      <c r="E1" s="76" t="s">
        <v>4</v>
      </c>
    </row>
    <row r="2" spans="1:17">
      <c r="A2" s="2">
        <v>1</v>
      </c>
      <c r="B2" s="106" t="s">
        <v>14</v>
      </c>
      <c r="C2" s="107">
        <v>80</v>
      </c>
      <c r="D2" s="15">
        <v>30</v>
      </c>
      <c r="E2" s="15">
        <f t="shared" ref="E2:E10" si="0">D2*C2</f>
        <v>2400</v>
      </c>
    </row>
    <row r="3" spans="1:17">
      <c r="A3" s="2">
        <v>2</v>
      </c>
      <c r="B3" s="106" t="s">
        <v>15</v>
      </c>
      <c r="C3" s="107">
        <v>69</v>
      </c>
      <c r="D3" s="107">
        <v>25</v>
      </c>
      <c r="E3" s="107">
        <f t="shared" si="0"/>
        <v>1725</v>
      </c>
    </row>
    <row r="4" spans="1:17">
      <c r="A4" s="2">
        <v>3</v>
      </c>
      <c r="B4" s="106" t="s">
        <v>279</v>
      </c>
      <c r="C4" s="107">
        <v>19</v>
      </c>
      <c r="D4" s="107">
        <v>25</v>
      </c>
      <c r="E4" s="107">
        <f t="shared" si="0"/>
        <v>475</v>
      </c>
    </row>
    <row r="5" spans="1:17">
      <c r="A5" s="2">
        <v>4</v>
      </c>
      <c r="B5" s="108" t="s">
        <v>17</v>
      </c>
      <c r="C5" s="124">
        <v>50</v>
      </c>
      <c r="D5" s="19">
        <v>50</v>
      </c>
      <c r="E5" s="19">
        <f t="shared" si="0"/>
        <v>2500</v>
      </c>
    </row>
    <row r="6" spans="1:17">
      <c r="A6" s="2">
        <v>5</v>
      </c>
      <c r="B6" s="109" t="s">
        <v>18</v>
      </c>
      <c r="C6" s="110">
        <v>176</v>
      </c>
      <c r="D6" s="21">
        <v>40</v>
      </c>
      <c r="E6" s="21">
        <f t="shared" si="0"/>
        <v>7040</v>
      </c>
    </row>
    <row r="7" spans="1:17">
      <c r="A7" s="2">
        <v>6</v>
      </c>
      <c r="B7" s="109" t="s">
        <v>19</v>
      </c>
      <c r="C7" s="110">
        <v>60.5</v>
      </c>
      <c r="D7" s="110">
        <v>40</v>
      </c>
      <c r="E7" s="110">
        <f t="shared" si="0"/>
        <v>2420</v>
      </c>
    </row>
    <row r="8" spans="1:17">
      <c r="A8" s="2">
        <v>7</v>
      </c>
      <c r="B8" s="111" t="s">
        <v>20</v>
      </c>
      <c r="C8" s="125">
        <v>50</v>
      </c>
      <c r="D8" s="24">
        <v>35</v>
      </c>
      <c r="E8" s="24">
        <f t="shared" si="0"/>
        <v>1750</v>
      </c>
    </row>
    <row r="9" spans="1:17">
      <c r="A9" s="2">
        <v>8</v>
      </c>
      <c r="B9" s="111" t="s">
        <v>20</v>
      </c>
      <c r="C9" s="24"/>
      <c r="D9" s="24">
        <v>35</v>
      </c>
      <c r="E9" s="24">
        <f t="shared" si="0"/>
        <v>0</v>
      </c>
    </row>
    <row r="10" spans="1:17">
      <c r="A10" s="2">
        <v>9</v>
      </c>
      <c r="B10" s="111" t="s">
        <v>21</v>
      </c>
      <c r="C10" s="125">
        <v>2.5</v>
      </c>
      <c r="D10" s="26">
        <v>25</v>
      </c>
      <c r="E10" s="24">
        <f t="shared" si="0"/>
        <v>62.5</v>
      </c>
    </row>
    <row r="11" spans="1:17">
      <c r="A11" s="495"/>
      <c r="B11" s="475"/>
      <c r="C11" s="475"/>
      <c r="D11" s="476"/>
      <c r="E11" s="27">
        <f>SUM(E2:E10)</f>
        <v>18372.5</v>
      </c>
    </row>
    <row r="13" spans="1:17">
      <c r="A13" s="474"/>
      <c r="B13" s="476"/>
      <c r="C13" s="498" t="s">
        <v>22</v>
      </c>
      <c r="D13" s="475"/>
      <c r="E13" s="475"/>
      <c r="F13" s="475"/>
      <c r="G13" s="475"/>
      <c r="H13" s="475"/>
      <c r="I13" s="476"/>
      <c r="J13" s="499" t="s">
        <v>23</v>
      </c>
      <c r="K13" s="475"/>
      <c r="L13" s="475"/>
      <c r="M13" s="475"/>
      <c r="N13" s="475"/>
      <c r="O13" s="475"/>
      <c r="P13" s="476"/>
      <c r="Q13" s="12"/>
    </row>
    <row r="14" spans="1:17">
      <c r="A14" s="142" t="s">
        <v>11</v>
      </c>
      <c r="B14" s="143" t="s">
        <v>0</v>
      </c>
      <c r="C14" s="143" t="s">
        <v>24</v>
      </c>
      <c r="D14" s="143" t="s">
        <v>25</v>
      </c>
      <c r="E14" s="143" t="s">
        <v>26</v>
      </c>
      <c r="F14" s="143" t="s">
        <v>27</v>
      </c>
      <c r="G14" s="143" t="s">
        <v>28</v>
      </c>
      <c r="H14" s="143" t="s">
        <v>21</v>
      </c>
      <c r="I14" s="144" t="s">
        <v>29</v>
      </c>
      <c r="J14" s="145" t="s">
        <v>24</v>
      </c>
      <c r="K14" s="145" t="s">
        <v>25</v>
      </c>
      <c r="L14" s="145" t="s">
        <v>26</v>
      </c>
      <c r="M14" s="145" t="s">
        <v>27</v>
      </c>
      <c r="N14" s="145" t="s">
        <v>28</v>
      </c>
      <c r="O14" s="145" t="s">
        <v>21</v>
      </c>
      <c r="P14" s="146" t="s">
        <v>30</v>
      </c>
      <c r="Q14" s="147" t="s">
        <v>5</v>
      </c>
    </row>
    <row r="15" spans="1:17">
      <c r="A15" s="148">
        <v>1</v>
      </c>
      <c r="B15" s="149" t="s">
        <v>321</v>
      </c>
      <c r="C15" s="149"/>
      <c r="D15" s="150">
        <v>2</v>
      </c>
      <c r="E15" s="150">
        <v>0.5</v>
      </c>
      <c r="F15" s="150">
        <v>5</v>
      </c>
      <c r="G15" s="151"/>
      <c r="H15" s="151"/>
      <c r="I15" s="152">
        <f t="shared" ref="I15:I20" si="1">C15*25+D15*30+E15*50+F15*40+G15*35+H15*25</f>
        <v>285</v>
      </c>
      <c r="J15" s="153">
        <v>1</v>
      </c>
      <c r="K15" s="154">
        <v>1</v>
      </c>
      <c r="L15" s="151"/>
      <c r="M15" s="154">
        <v>6</v>
      </c>
      <c r="N15" s="151"/>
      <c r="O15" s="151"/>
      <c r="P15" s="155">
        <f t="shared" ref="P15:P20" si="2">J15*25+K15*30+L15*50+M15*40+N15*35+O15*25</f>
        <v>295</v>
      </c>
      <c r="Q15" s="34" t="s">
        <v>41</v>
      </c>
    </row>
    <row r="16" spans="1:17">
      <c r="A16" s="156">
        <v>2</v>
      </c>
      <c r="B16" s="157" t="s">
        <v>322</v>
      </c>
      <c r="C16" s="158">
        <v>3</v>
      </c>
      <c r="D16" s="150">
        <v>4</v>
      </c>
      <c r="E16" s="150">
        <v>2</v>
      </c>
      <c r="F16" s="150">
        <v>14</v>
      </c>
      <c r="G16" s="151"/>
      <c r="H16" s="151"/>
      <c r="I16" s="159">
        <f t="shared" si="1"/>
        <v>855</v>
      </c>
      <c r="J16" s="153">
        <v>1</v>
      </c>
      <c r="K16" s="154">
        <v>1</v>
      </c>
      <c r="L16" s="154">
        <v>2</v>
      </c>
      <c r="M16" s="154">
        <v>16</v>
      </c>
      <c r="N16" s="151"/>
      <c r="O16" s="151"/>
      <c r="P16" s="155">
        <f t="shared" si="2"/>
        <v>795</v>
      </c>
      <c r="Q16" s="34" t="s">
        <v>41</v>
      </c>
    </row>
    <row r="17" spans="1:17">
      <c r="A17" s="156">
        <v>3</v>
      </c>
      <c r="B17" s="157" t="s">
        <v>323</v>
      </c>
      <c r="C17" s="158">
        <v>4</v>
      </c>
      <c r="D17" s="150">
        <v>2</v>
      </c>
      <c r="E17" s="150">
        <v>2</v>
      </c>
      <c r="F17" s="150">
        <v>24</v>
      </c>
      <c r="G17" s="151"/>
      <c r="H17" s="151"/>
      <c r="I17" s="159">
        <f t="shared" si="1"/>
        <v>1220</v>
      </c>
      <c r="J17" s="153">
        <v>4</v>
      </c>
      <c r="K17" s="151"/>
      <c r="L17" s="154">
        <v>3</v>
      </c>
      <c r="M17" s="154">
        <v>24</v>
      </c>
      <c r="N17" s="151"/>
      <c r="O17" s="151"/>
      <c r="P17" s="155">
        <f t="shared" si="2"/>
        <v>1210</v>
      </c>
      <c r="Q17" s="34" t="s">
        <v>41</v>
      </c>
    </row>
    <row r="18" spans="1:17">
      <c r="A18" s="148">
        <v>4</v>
      </c>
      <c r="B18" s="151" t="s">
        <v>324</v>
      </c>
      <c r="C18" s="150">
        <v>1</v>
      </c>
      <c r="D18" s="150">
        <v>0.5</v>
      </c>
      <c r="E18" s="151"/>
      <c r="F18" s="150">
        <v>4</v>
      </c>
      <c r="G18" s="150">
        <v>1</v>
      </c>
      <c r="H18" s="151"/>
      <c r="I18" s="152">
        <f t="shared" si="1"/>
        <v>235</v>
      </c>
      <c r="J18" s="153">
        <v>2</v>
      </c>
      <c r="K18" s="151"/>
      <c r="L18" s="154">
        <v>1</v>
      </c>
      <c r="M18" s="154">
        <v>6</v>
      </c>
      <c r="N18" s="154">
        <v>3</v>
      </c>
      <c r="O18" s="151"/>
      <c r="P18" s="155">
        <f t="shared" si="2"/>
        <v>445</v>
      </c>
      <c r="Q18" s="34" t="s">
        <v>41</v>
      </c>
    </row>
    <row r="19" spans="1:17">
      <c r="A19" s="148">
        <v>5</v>
      </c>
      <c r="B19" s="151" t="s">
        <v>325</v>
      </c>
      <c r="C19" s="150">
        <v>5</v>
      </c>
      <c r="D19" s="150">
        <v>4</v>
      </c>
      <c r="E19" s="150">
        <v>6</v>
      </c>
      <c r="F19" s="150">
        <v>42</v>
      </c>
      <c r="G19" s="150">
        <v>6</v>
      </c>
      <c r="H19" s="151"/>
      <c r="I19" s="152">
        <f t="shared" si="1"/>
        <v>2435</v>
      </c>
      <c r="J19" s="154">
        <v>5</v>
      </c>
      <c r="K19" s="154">
        <v>2</v>
      </c>
      <c r="L19" s="154">
        <v>2</v>
      </c>
      <c r="M19" s="154">
        <v>16</v>
      </c>
      <c r="N19" s="154">
        <v>6</v>
      </c>
      <c r="O19" s="151"/>
      <c r="P19" s="155">
        <f t="shared" si="2"/>
        <v>1135</v>
      </c>
      <c r="Q19" s="34" t="s">
        <v>41</v>
      </c>
    </row>
    <row r="20" spans="1:17">
      <c r="A20" s="148">
        <v>6</v>
      </c>
      <c r="B20" s="160" t="s">
        <v>326</v>
      </c>
      <c r="C20" s="150">
        <v>8</v>
      </c>
      <c r="D20" s="150">
        <v>7</v>
      </c>
      <c r="E20" s="150">
        <v>4</v>
      </c>
      <c r="F20" s="150">
        <v>6</v>
      </c>
      <c r="G20" s="150">
        <v>20</v>
      </c>
      <c r="H20" s="150">
        <v>2.5</v>
      </c>
      <c r="I20" s="152">
        <f t="shared" si="1"/>
        <v>1612.5</v>
      </c>
      <c r="J20" s="154">
        <v>6</v>
      </c>
      <c r="K20" s="154">
        <v>2</v>
      </c>
      <c r="L20" s="154">
        <v>3</v>
      </c>
      <c r="M20" s="154">
        <v>7</v>
      </c>
      <c r="N20" s="154">
        <v>26</v>
      </c>
      <c r="O20" s="151"/>
      <c r="P20" s="155">
        <f t="shared" si="2"/>
        <v>1550</v>
      </c>
      <c r="Q20" s="34" t="s">
        <v>41</v>
      </c>
    </row>
    <row r="21" spans="1:17">
      <c r="A21" s="161"/>
      <c r="B21" s="162" t="s">
        <v>327</v>
      </c>
      <c r="C21" s="151"/>
      <c r="D21" s="151"/>
      <c r="E21" s="151"/>
      <c r="F21" s="151"/>
      <c r="G21" s="151"/>
      <c r="H21" s="151"/>
      <c r="I21" s="163"/>
      <c r="J21" s="151"/>
      <c r="K21" s="151"/>
      <c r="L21" s="151"/>
      <c r="M21" s="151"/>
      <c r="N21" s="151"/>
      <c r="O21" s="151"/>
      <c r="P21" s="164"/>
      <c r="Q21" s="34"/>
    </row>
    <row r="22" spans="1:17">
      <c r="A22" s="161"/>
      <c r="B22" s="165" t="s">
        <v>328</v>
      </c>
      <c r="C22" s="151"/>
      <c r="D22" s="151"/>
      <c r="E22" s="151"/>
      <c r="F22" s="151"/>
      <c r="G22" s="151"/>
      <c r="H22" s="151"/>
      <c r="I22" s="163"/>
      <c r="J22" s="151"/>
      <c r="K22" s="151"/>
      <c r="L22" s="151"/>
      <c r="M22" s="151"/>
      <c r="N22" s="151"/>
      <c r="O22" s="151"/>
      <c r="P22" s="164"/>
      <c r="Q22" s="34"/>
    </row>
    <row r="23" spans="1:17">
      <c r="A23" s="161"/>
      <c r="B23" s="165" t="s">
        <v>329</v>
      </c>
      <c r="C23" s="151"/>
      <c r="D23" s="151"/>
      <c r="E23" s="151"/>
      <c r="F23" s="151"/>
      <c r="G23" s="151"/>
      <c r="H23" s="151"/>
      <c r="I23" s="163"/>
      <c r="J23" s="151"/>
      <c r="K23" s="151"/>
      <c r="L23" s="151"/>
      <c r="M23" s="151"/>
      <c r="N23" s="151"/>
      <c r="O23" s="151"/>
      <c r="P23" s="164"/>
      <c r="Q23" s="34"/>
    </row>
    <row r="24" spans="1:17">
      <c r="A24" s="161"/>
      <c r="B24" s="165" t="s">
        <v>330</v>
      </c>
      <c r="C24" s="151"/>
      <c r="D24" s="151"/>
      <c r="E24" s="151"/>
      <c r="F24" s="151"/>
      <c r="G24" s="151"/>
      <c r="H24" s="151"/>
      <c r="I24" s="163"/>
      <c r="J24" s="151"/>
      <c r="K24" s="151"/>
      <c r="L24" s="151"/>
      <c r="M24" s="151"/>
      <c r="N24" s="151"/>
      <c r="O24" s="151"/>
      <c r="P24" s="164"/>
      <c r="Q24" s="34"/>
    </row>
    <row r="25" spans="1:17">
      <c r="A25" s="161"/>
      <c r="B25" s="165" t="s">
        <v>331</v>
      </c>
      <c r="C25" s="151"/>
      <c r="D25" s="151"/>
      <c r="E25" s="151"/>
      <c r="F25" s="151"/>
      <c r="G25" s="151"/>
      <c r="H25" s="151"/>
      <c r="I25" s="163"/>
      <c r="J25" s="151"/>
      <c r="K25" s="151"/>
      <c r="L25" s="151"/>
      <c r="M25" s="151"/>
      <c r="N25" s="151"/>
      <c r="O25" s="151"/>
      <c r="P25" s="164"/>
      <c r="Q25" s="34"/>
    </row>
    <row r="26" spans="1:17">
      <c r="A26" s="161"/>
      <c r="B26" s="165" t="s">
        <v>332</v>
      </c>
      <c r="C26" s="151"/>
      <c r="D26" s="151"/>
      <c r="E26" s="151"/>
      <c r="F26" s="151"/>
      <c r="G26" s="151"/>
      <c r="H26" s="151"/>
      <c r="I26" s="163"/>
      <c r="J26" s="151"/>
      <c r="K26" s="151"/>
      <c r="L26" s="151"/>
      <c r="M26" s="151"/>
      <c r="N26" s="151"/>
      <c r="O26" s="151"/>
      <c r="P26" s="164"/>
      <c r="Q26" s="34"/>
    </row>
    <row r="27" spans="1:17">
      <c r="A27" s="161"/>
      <c r="B27" s="165" t="s">
        <v>333</v>
      </c>
      <c r="C27" s="151"/>
      <c r="D27" s="151"/>
      <c r="E27" s="151"/>
      <c r="F27" s="151"/>
      <c r="G27" s="151"/>
      <c r="H27" s="151"/>
      <c r="I27" s="163"/>
      <c r="J27" s="151"/>
      <c r="K27" s="151"/>
      <c r="L27" s="151"/>
      <c r="M27" s="151"/>
      <c r="N27" s="151"/>
      <c r="O27" s="151"/>
      <c r="P27" s="164"/>
      <c r="Q27" s="34"/>
    </row>
    <row r="28" spans="1:17">
      <c r="A28" s="161"/>
      <c r="B28" s="165" t="s">
        <v>334</v>
      </c>
      <c r="C28" s="151"/>
      <c r="D28" s="151"/>
      <c r="E28" s="151"/>
      <c r="F28" s="151"/>
      <c r="G28" s="151"/>
      <c r="H28" s="151"/>
      <c r="I28" s="163"/>
      <c r="J28" s="151"/>
      <c r="K28" s="151"/>
      <c r="L28" s="151"/>
      <c r="M28" s="151"/>
      <c r="N28" s="151"/>
      <c r="O28" s="151"/>
      <c r="P28" s="164"/>
      <c r="Q28" s="34"/>
    </row>
    <row r="29" spans="1:17">
      <c r="A29" s="161"/>
      <c r="B29" s="165" t="s">
        <v>335</v>
      </c>
      <c r="C29" s="151"/>
      <c r="D29" s="151"/>
      <c r="E29" s="151"/>
      <c r="F29" s="151"/>
      <c r="G29" s="151"/>
      <c r="H29" s="151"/>
      <c r="I29" s="163"/>
      <c r="J29" s="151"/>
      <c r="K29" s="151"/>
      <c r="L29" s="151"/>
      <c r="M29" s="151"/>
      <c r="N29" s="151"/>
      <c r="O29" s="151"/>
      <c r="P29" s="164"/>
      <c r="Q29" s="34"/>
    </row>
    <row r="30" spans="1:17">
      <c r="A30" s="148">
        <v>7</v>
      </c>
      <c r="B30" s="165" t="s">
        <v>336</v>
      </c>
      <c r="C30" s="150">
        <v>2</v>
      </c>
      <c r="D30" s="150">
        <v>1</v>
      </c>
      <c r="E30" s="150">
        <v>3</v>
      </c>
      <c r="F30" s="150">
        <v>12</v>
      </c>
      <c r="G30" s="150">
        <v>5</v>
      </c>
      <c r="H30" s="151"/>
      <c r="I30" s="152">
        <f t="shared" ref="I30:I34" si="3">C30*25+D30*30+E30*50+F30*40+G30*35+H30*25</f>
        <v>885</v>
      </c>
      <c r="J30" s="154">
        <v>2</v>
      </c>
      <c r="K30" s="151"/>
      <c r="L30" s="154">
        <v>1</v>
      </c>
      <c r="M30" s="154">
        <v>8</v>
      </c>
      <c r="N30" s="154">
        <v>6</v>
      </c>
      <c r="O30" s="151"/>
      <c r="P30" s="155">
        <f t="shared" ref="P30:P34" si="4">J30*25+K30*30+L30*50+M30*40+N30*35+O30*25</f>
        <v>630</v>
      </c>
      <c r="Q30" s="34" t="s">
        <v>41</v>
      </c>
    </row>
    <row r="31" spans="1:17">
      <c r="A31" s="166">
        <v>8</v>
      </c>
      <c r="B31" s="167" t="s">
        <v>337</v>
      </c>
      <c r="C31" s="151"/>
      <c r="D31" s="151"/>
      <c r="E31" s="151"/>
      <c r="F31" s="151"/>
      <c r="G31" s="151"/>
      <c r="H31" s="151"/>
      <c r="I31" s="168">
        <f t="shared" si="3"/>
        <v>0</v>
      </c>
      <c r="J31" s="169">
        <v>15</v>
      </c>
      <c r="K31" s="169">
        <v>10</v>
      </c>
      <c r="L31" s="169">
        <v>7</v>
      </c>
      <c r="M31" s="169">
        <v>42</v>
      </c>
      <c r="N31" s="169">
        <v>26</v>
      </c>
      <c r="O31" s="151"/>
      <c r="P31" s="170">
        <f t="shared" si="4"/>
        <v>3615</v>
      </c>
      <c r="Q31" s="34" t="s">
        <v>72</v>
      </c>
    </row>
    <row r="32" spans="1:17">
      <c r="A32" s="148">
        <v>9</v>
      </c>
      <c r="B32" s="151" t="s">
        <v>306</v>
      </c>
      <c r="C32" s="150">
        <v>43</v>
      </c>
      <c r="D32" s="150">
        <v>45</v>
      </c>
      <c r="E32" s="150">
        <v>4</v>
      </c>
      <c r="F32" s="151"/>
      <c r="G32" s="151"/>
      <c r="H32" s="151"/>
      <c r="I32" s="152">
        <f t="shared" si="3"/>
        <v>2625</v>
      </c>
      <c r="J32" s="154">
        <v>40</v>
      </c>
      <c r="K32" s="154">
        <v>18</v>
      </c>
      <c r="L32" s="154">
        <v>4</v>
      </c>
      <c r="M32" s="151"/>
      <c r="N32" s="151"/>
      <c r="O32" s="151"/>
      <c r="P32" s="155">
        <f t="shared" si="4"/>
        <v>1740</v>
      </c>
      <c r="Q32" s="34" t="s">
        <v>41</v>
      </c>
    </row>
    <row r="33" spans="1:17">
      <c r="A33" s="148">
        <v>10</v>
      </c>
      <c r="B33" s="151" t="s">
        <v>315</v>
      </c>
      <c r="C33" s="151"/>
      <c r="D33" s="151"/>
      <c r="E33" s="151"/>
      <c r="F33" s="150">
        <v>2</v>
      </c>
      <c r="G33" s="151"/>
      <c r="H33" s="151"/>
      <c r="I33" s="152">
        <f t="shared" si="3"/>
        <v>80</v>
      </c>
      <c r="J33" s="154">
        <v>1</v>
      </c>
      <c r="K33" s="151"/>
      <c r="L33" s="151"/>
      <c r="M33" s="154">
        <v>2</v>
      </c>
      <c r="N33" s="151"/>
      <c r="O33" s="151"/>
      <c r="P33" s="155">
        <f t="shared" si="4"/>
        <v>105</v>
      </c>
      <c r="Q33" s="34" t="s">
        <v>41</v>
      </c>
    </row>
    <row r="34" spans="1:17">
      <c r="A34" s="171">
        <v>11</v>
      </c>
      <c r="B34" s="172" t="s">
        <v>338</v>
      </c>
      <c r="C34" s="173">
        <v>3</v>
      </c>
      <c r="D34" s="172"/>
      <c r="E34" s="173">
        <v>5</v>
      </c>
      <c r="F34" s="173">
        <v>42</v>
      </c>
      <c r="G34" s="173">
        <v>3</v>
      </c>
      <c r="H34" s="172"/>
      <c r="I34" s="174">
        <f t="shared" si="3"/>
        <v>2110</v>
      </c>
      <c r="J34" s="154">
        <v>3</v>
      </c>
      <c r="K34" s="151"/>
      <c r="L34" s="151"/>
      <c r="M34" s="154">
        <v>20</v>
      </c>
      <c r="N34" s="154">
        <v>10</v>
      </c>
      <c r="O34" s="151"/>
      <c r="P34" s="155">
        <f t="shared" si="4"/>
        <v>1225</v>
      </c>
      <c r="Q34" s="34" t="s">
        <v>41</v>
      </c>
    </row>
    <row r="35" spans="1:17">
      <c r="A35" s="37">
        <v>12</v>
      </c>
      <c r="B35" s="40" t="s">
        <v>339</v>
      </c>
      <c r="C35" s="34"/>
      <c r="D35" s="34"/>
      <c r="E35" s="34"/>
      <c r="F35" s="34"/>
      <c r="G35" s="34"/>
      <c r="H35" s="34"/>
      <c r="I35" s="43"/>
      <c r="J35" s="151"/>
      <c r="K35" s="151"/>
      <c r="L35" s="151"/>
      <c r="M35" s="151"/>
      <c r="N35" s="151"/>
      <c r="O35" s="151"/>
      <c r="P35" s="164"/>
      <c r="Q35" s="34"/>
    </row>
    <row r="36" spans="1:17">
      <c r="A36" s="34"/>
      <c r="B36" s="175" t="s">
        <v>340</v>
      </c>
      <c r="C36" s="33">
        <v>3</v>
      </c>
      <c r="D36" s="33">
        <v>1</v>
      </c>
      <c r="E36" s="33">
        <v>2</v>
      </c>
      <c r="F36" s="33">
        <v>9.5</v>
      </c>
      <c r="G36" s="33">
        <v>10</v>
      </c>
      <c r="H36" s="34"/>
      <c r="I36" s="44">
        <f t="shared" ref="I36:I37" si="5">C36*25+D36*30+E36*50+F36*40+G36*35+H36*25</f>
        <v>935</v>
      </c>
      <c r="J36" s="154">
        <v>4</v>
      </c>
      <c r="K36" s="154">
        <v>1</v>
      </c>
      <c r="L36" s="154">
        <v>4</v>
      </c>
      <c r="M36" s="154">
        <v>9</v>
      </c>
      <c r="N36" s="154">
        <v>10</v>
      </c>
      <c r="O36" s="151"/>
      <c r="P36" s="155">
        <f t="shared" ref="P36:P37" si="6">J36*25+K36*30+L36*50+M36*40+N36*35+O36*25</f>
        <v>1040</v>
      </c>
      <c r="Q36" s="34" t="s">
        <v>41</v>
      </c>
    </row>
    <row r="37" spans="1:17">
      <c r="A37" s="34"/>
      <c r="B37" s="175" t="s">
        <v>341</v>
      </c>
      <c r="C37" s="33">
        <v>4</v>
      </c>
      <c r="D37" s="33">
        <v>4</v>
      </c>
      <c r="E37" s="33">
        <v>8</v>
      </c>
      <c r="F37" s="33">
        <v>24</v>
      </c>
      <c r="G37" s="33">
        <v>2</v>
      </c>
      <c r="H37" s="34"/>
      <c r="I37" s="44">
        <f t="shared" si="5"/>
        <v>1650</v>
      </c>
      <c r="J37" s="154">
        <v>6</v>
      </c>
      <c r="K37" s="154">
        <v>2</v>
      </c>
      <c r="L37" s="154">
        <v>5</v>
      </c>
      <c r="M37" s="154">
        <v>26</v>
      </c>
      <c r="N37" s="154">
        <v>2</v>
      </c>
      <c r="O37" s="172"/>
      <c r="P37" s="176">
        <f t="shared" si="6"/>
        <v>1570</v>
      </c>
      <c r="Q37" s="34" t="s">
        <v>41</v>
      </c>
    </row>
    <row r="38" spans="1:17">
      <c r="A38" s="12"/>
      <c r="B38" s="12"/>
      <c r="C38" s="12"/>
      <c r="D38" s="12"/>
      <c r="E38" s="12"/>
      <c r="F38" s="12"/>
      <c r="G38" s="12"/>
      <c r="H38" s="40" t="s">
        <v>342</v>
      </c>
      <c r="I38" s="44">
        <f>SUM(I15:I37)</f>
        <v>14927.5</v>
      </c>
      <c r="J38" s="12"/>
      <c r="K38" s="12"/>
      <c r="L38" s="12"/>
      <c r="M38" s="12"/>
      <c r="N38" s="12"/>
      <c r="O38" s="177" t="s">
        <v>342</v>
      </c>
      <c r="P38" s="178">
        <f>SUM(P15:P37)</f>
        <v>15355</v>
      </c>
      <c r="Q38" s="12"/>
    </row>
    <row r="39" spans="1:17">
      <c r="A39" s="479" t="s">
        <v>343</v>
      </c>
      <c r="B39" s="480"/>
      <c r="C39" s="480"/>
      <c r="D39" s="480"/>
      <c r="E39" s="480"/>
      <c r="F39" s="480"/>
      <c r="G39" s="480"/>
      <c r="H39" s="480"/>
      <c r="I39" s="478"/>
      <c r="J39" s="12"/>
      <c r="K39" s="12"/>
      <c r="L39" s="12"/>
      <c r="M39" s="12"/>
      <c r="N39" s="12"/>
      <c r="O39" s="179" t="s">
        <v>342</v>
      </c>
      <c r="P39" s="180">
        <f>P38-P31</f>
        <v>11740</v>
      </c>
      <c r="Q39" s="12"/>
    </row>
    <row r="40" spans="1:17">
      <c r="A40" s="37">
        <v>13</v>
      </c>
      <c r="B40" s="40" t="s">
        <v>339</v>
      </c>
      <c r="C40" s="34"/>
      <c r="D40" s="34"/>
      <c r="E40" s="34"/>
      <c r="F40" s="34"/>
      <c r="G40" s="34"/>
      <c r="H40" s="34"/>
      <c r="I40" s="43"/>
      <c r="J40" s="147"/>
      <c r="K40" s="12"/>
      <c r="L40" s="12"/>
      <c r="M40" s="12"/>
      <c r="N40" s="12"/>
      <c r="O40" s="12"/>
      <c r="P40" s="181"/>
      <c r="Q40" s="12"/>
    </row>
    <row r="41" spans="1:17">
      <c r="A41" s="34"/>
      <c r="B41" s="182" t="s">
        <v>344</v>
      </c>
      <c r="C41" s="33">
        <v>4</v>
      </c>
      <c r="D41" s="33">
        <v>4</v>
      </c>
      <c r="E41" s="33">
        <v>10</v>
      </c>
      <c r="F41" s="33">
        <v>18</v>
      </c>
      <c r="G41" s="34"/>
      <c r="H41" s="34"/>
      <c r="I41" s="44">
        <f t="shared" ref="I41:I45" si="7">C41*25+D41*30+E41*50+F41*40+G41*35+H41*25</f>
        <v>1440</v>
      </c>
      <c r="J41" s="34" t="s">
        <v>41</v>
      </c>
      <c r="K41" s="12"/>
      <c r="L41" s="12"/>
      <c r="M41" s="12"/>
      <c r="N41" s="12"/>
      <c r="O41" s="12"/>
      <c r="P41" s="181"/>
      <c r="Q41" s="12"/>
    </row>
    <row r="42" spans="1:17">
      <c r="A42" s="34"/>
      <c r="B42" s="182" t="s">
        <v>345</v>
      </c>
      <c r="C42" s="33">
        <v>3</v>
      </c>
      <c r="D42" s="33">
        <v>1</v>
      </c>
      <c r="E42" s="33">
        <v>1</v>
      </c>
      <c r="F42" s="33">
        <v>14</v>
      </c>
      <c r="G42" s="34"/>
      <c r="H42" s="34"/>
      <c r="I42" s="44">
        <f t="shared" si="7"/>
        <v>715</v>
      </c>
      <c r="J42" s="34" t="s">
        <v>41</v>
      </c>
      <c r="K42" s="12"/>
      <c r="L42" s="12"/>
      <c r="M42" s="12"/>
      <c r="N42" s="12"/>
      <c r="O42" s="12"/>
      <c r="P42" s="12"/>
      <c r="Q42" s="12"/>
    </row>
    <row r="43" spans="1:17">
      <c r="A43" s="33">
        <v>14</v>
      </c>
      <c r="B43" s="34" t="s">
        <v>346</v>
      </c>
      <c r="C43" s="33">
        <v>2</v>
      </c>
      <c r="D43" s="34"/>
      <c r="E43" s="34"/>
      <c r="F43" s="33">
        <v>5</v>
      </c>
      <c r="G43" s="34"/>
      <c r="H43" s="34"/>
      <c r="I43" s="44">
        <f t="shared" si="7"/>
        <v>250</v>
      </c>
      <c r="J43" s="34" t="s">
        <v>41</v>
      </c>
      <c r="K43" s="12"/>
      <c r="L43" s="12"/>
      <c r="M43" s="12"/>
      <c r="N43" s="12"/>
      <c r="O43" s="12"/>
      <c r="P43" s="12"/>
      <c r="Q43" s="12"/>
    </row>
    <row r="44" spans="1:17">
      <c r="A44" s="33">
        <v>15</v>
      </c>
      <c r="B44" s="183" t="s">
        <v>347</v>
      </c>
      <c r="C44" s="33">
        <v>1</v>
      </c>
      <c r="D44" s="33">
        <v>4</v>
      </c>
      <c r="E44" s="33">
        <v>1.5</v>
      </c>
      <c r="F44" s="33">
        <v>9</v>
      </c>
      <c r="G44" s="33">
        <v>3</v>
      </c>
      <c r="H44" s="34"/>
      <c r="I44" s="44">
        <f t="shared" si="7"/>
        <v>685</v>
      </c>
      <c r="J44" s="34" t="s">
        <v>41</v>
      </c>
      <c r="K44" s="12"/>
      <c r="L44" s="12"/>
      <c r="M44" s="12"/>
      <c r="N44" s="12"/>
      <c r="O44" s="12"/>
      <c r="P44" s="12"/>
      <c r="Q44" s="12"/>
    </row>
    <row r="45" spans="1:17">
      <c r="A45" s="33">
        <v>16</v>
      </c>
      <c r="B45" s="34" t="s">
        <v>348</v>
      </c>
      <c r="C45" s="33">
        <v>2</v>
      </c>
      <c r="D45" s="33">
        <v>0.5</v>
      </c>
      <c r="E45" s="33">
        <v>1</v>
      </c>
      <c r="F45" s="33">
        <v>6</v>
      </c>
      <c r="G45" s="34"/>
      <c r="H45" s="34"/>
      <c r="I45" s="44">
        <f t="shared" si="7"/>
        <v>355</v>
      </c>
      <c r="J45" s="34" t="s">
        <v>41</v>
      </c>
      <c r="K45" s="12"/>
      <c r="L45" s="12"/>
      <c r="M45" s="12"/>
      <c r="N45" s="12"/>
      <c r="O45" s="12"/>
      <c r="P45" s="12"/>
      <c r="Q45" s="12"/>
    </row>
    <row r="46" spans="1:17">
      <c r="A46" s="12"/>
      <c r="B46" s="12"/>
      <c r="C46" s="12"/>
      <c r="D46" s="12"/>
      <c r="E46" s="12"/>
      <c r="F46" s="12"/>
      <c r="G46" s="12"/>
      <c r="H46" s="40" t="s">
        <v>342</v>
      </c>
      <c r="I46" s="44">
        <f>SUM(I41:I45)</f>
        <v>3445</v>
      </c>
      <c r="J46" s="12"/>
      <c r="K46" s="12"/>
      <c r="L46" s="12"/>
      <c r="M46" s="12"/>
      <c r="N46" s="12"/>
      <c r="O46" s="12"/>
      <c r="P46" s="12"/>
      <c r="Q46" s="12"/>
    </row>
    <row r="47" spans="1:17">
      <c r="A47" s="12"/>
      <c r="B47" s="12"/>
      <c r="C47" s="12"/>
      <c r="D47" s="12"/>
      <c r="E47" s="12"/>
      <c r="F47" s="12"/>
      <c r="G47" s="12"/>
      <c r="H47" s="40" t="s">
        <v>349</v>
      </c>
      <c r="I47" s="44">
        <f>I46+I38</f>
        <v>18372.5</v>
      </c>
      <c r="J47" s="12"/>
      <c r="K47" s="12"/>
      <c r="L47" s="12"/>
      <c r="M47" s="12"/>
      <c r="N47" s="12"/>
      <c r="O47" s="12"/>
      <c r="P47" s="12"/>
      <c r="Q47" s="12"/>
    </row>
    <row r="48" spans="1:17">
      <c r="A48" s="12"/>
      <c r="B48" s="12"/>
      <c r="C48" s="12"/>
      <c r="D48" s="12"/>
      <c r="E48" s="12"/>
      <c r="F48" s="12"/>
      <c r="G48" s="12"/>
      <c r="H48" s="12"/>
      <c r="I48" s="12"/>
      <c r="J48" s="12"/>
      <c r="K48" s="12"/>
      <c r="L48" s="12"/>
      <c r="M48" s="12"/>
      <c r="N48" s="12"/>
      <c r="O48" s="12"/>
      <c r="P48" s="12"/>
      <c r="Q48" s="12"/>
    </row>
  </sheetData>
  <mergeCells count="5">
    <mergeCell ref="A11:D11"/>
    <mergeCell ref="A13:B13"/>
    <mergeCell ref="C13:I13"/>
    <mergeCell ref="J13:P13"/>
    <mergeCell ref="A39:I39"/>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AA51"/>
  <sheetViews>
    <sheetView workbookViewId="0"/>
  </sheetViews>
  <sheetFormatPr defaultColWidth="12.5703125" defaultRowHeight="15.75" customHeight="1"/>
  <cols>
    <col min="1" max="1" width="4.85546875" customWidth="1"/>
    <col min="2" max="2" width="50" customWidth="1"/>
    <col min="6" max="6" width="12" customWidth="1"/>
    <col min="11" max="11" width="23.140625" customWidth="1"/>
  </cols>
  <sheetData>
    <row r="1" spans="1:27" ht="12.75">
      <c r="A1" s="76" t="s">
        <v>11</v>
      </c>
      <c r="B1" s="76" t="s">
        <v>12</v>
      </c>
      <c r="C1" s="76" t="s">
        <v>3</v>
      </c>
      <c r="D1" s="76" t="s">
        <v>13</v>
      </c>
      <c r="E1" s="76" t="s">
        <v>4</v>
      </c>
    </row>
    <row r="2" spans="1:27" ht="12.75">
      <c r="A2" s="2">
        <v>1</v>
      </c>
      <c r="B2" s="106" t="s">
        <v>14</v>
      </c>
      <c r="C2" s="107">
        <v>69</v>
      </c>
      <c r="D2" s="15">
        <v>30</v>
      </c>
      <c r="E2" s="15">
        <f t="shared" ref="E2:E11" si="0">D2*C2</f>
        <v>2070</v>
      </c>
    </row>
    <row r="3" spans="1:27" ht="12.75">
      <c r="A3" s="2">
        <v>2</v>
      </c>
      <c r="B3" s="106" t="s">
        <v>15</v>
      </c>
      <c r="C3" s="107">
        <v>89</v>
      </c>
      <c r="D3" s="107">
        <v>25</v>
      </c>
      <c r="E3" s="107">
        <f t="shared" si="0"/>
        <v>2225</v>
      </c>
    </row>
    <row r="4" spans="1:27" ht="12.75">
      <c r="A4" s="2">
        <v>3</v>
      </c>
      <c r="B4" s="106" t="s">
        <v>279</v>
      </c>
      <c r="C4" s="107">
        <v>9</v>
      </c>
      <c r="D4" s="107">
        <v>25</v>
      </c>
      <c r="E4" s="107">
        <f t="shared" si="0"/>
        <v>225</v>
      </c>
    </row>
    <row r="5" spans="1:27" ht="12.75">
      <c r="A5" s="2">
        <v>4</v>
      </c>
      <c r="B5" s="108" t="s">
        <v>17</v>
      </c>
      <c r="C5" s="124">
        <v>30</v>
      </c>
      <c r="D5" s="19">
        <v>50</v>
      </c>
      <c r="E5" s="19">
        <f t="shared" si="0"/>
        <v>1500</v>
      </c>
    </row>
    <row r="6" spans="1:27" ht="12.75">
      <c r="A6" s="2">
        <v>5</v>
      </c>
      <c r="B6" s="109" t="s">
        <v>18</v>
      </c>
      <c r="C6" s="110">
        <v>197</v>
      </c>
      <c r="D6" s="21">
        <v>40</v>
      </c>
      <c r="E6" s="21">
        <f t="shared" si="0"/>
        <v>7880</v>
      </c>
    </row>
    <row r="7" spans="1:27" ht="12.75">
      <c r="A7" s="2">
        <v>6</v>
      </c>
      <c r="B7" s="109" t="s">
        <v>19</v>
      </c>
      <c r="C7" s="110">
        <v>115</v>
      </c>
      <c r="D7" s="110">
        <v>40</v>
      </c>
      <c r="E7" s="110">
        <f t="shared" si="0"/>
        <v>4600</v>
      </c>
    </row>
    <row r="8" spans="1:27" ht="12.75">
      <c r="A8" s="2">
        <v>7</v>
      </c>
      <c r="B8" s="109" t="s">
        <v>350</v>
      </c>
      <c r="C8" s="110">
        <v>40</v>
      </c>
      <c r="D8" s="110">
        <v>40</v>
      </c>
      <c r="E8" s="110">
        <f t="shared" si="0"/>
        <v>1600</v>
      </c>
    </row>
    <row r="9" spans="1:27" ht="12.75">
      <c r="A9" s="2">
        <v>8</v>
      </c>
      <c r="B9" s="111" t="s">
        <v>20</v>
      </c>
      <c r="C9" s="125">
        <v>85</v>
      </c>
      <c r="D9" s="24">
        <v>35</v>
      </c>
      <c r="E9" s="24">
        <f t="shared" si="0"/>
        <v>2975</v>
      </c>
    </row>
    <row r="10" spans="1:27" ht="12.75">
      <c r="A10" s="2">
        <v>9</v>
      </c>
      <c r="B10" s="111" t="s">
        <v>351</v>
      </c>
      <c r="C10" s="24"/>
      <c r="D10" s="24">
        <v>35</v>
      </c>
      <c r="E10" s="24">
        <f t="shared" si="0"/>
        <v>0</v>
      </c>
    </row>
    <row r="11" spans="1:27" ht="12.75">
      <c r="A11" s="2">
        <v>10</v>
      </c>
      <c r="B11" s="111" t="s">
        <v>21</v>
      </c>
      <c r="C11" s="125">
        <v>9</v>
      </c>
      <c r="D11" s="26">
        <v>25</v>
      </c>
      <c r="E11" s="24">
        <f t="shared" si="0"/>
        <v>225</v>
      </c>
    </row>
    <row r="12" spans="1:27" ht="12.75">
      <c r="A12" s="495"/>
      <c r="B12" s="475"/>
      <c r="C12" s="475"/>
      <c r="D12" s="476"/>
      <c r="E12" s="27">
        <f>SUM(E2:E11)</f>
        <v>23300</v>
      </c>
    </row>
    <row r="14" spans="1:27" ht="12.75">
      <c r="A14" s="495"/>
      <c r="B14" s="476"/>
      <c r="C14" s="494" t="s">
        <v>22</v>
      </c>
      <c r="D14" s="475"/>
      <c r="E14" s="475"/>
      <c r="F14" s="475"/>
      <c r="G14" s="475"/>
      <c r="H14" s="475"/>
      <c r="I14" s="476"/>
      <c r="J14" s="497" t="s">
        <v>23</v>
      </c>
      <c r="K14" s="475"/>
      <c r="L14" s="475"/>
      <c r="M14" s="475"/>
      <c r="N14" s="475"/>
      <c r="O14" s="475"/>
      <c r="P14" s="475"/>
      <c r="Q14" s="476"/>
    </row>
    <row r="15" spans="1:27" ht="25.5">
      <c r="A15" s="126" t="s">
        <v>11</v>
      </c>
      <c r="B15" s="184" t="s">
        <v>0</v>
      </c>
      <c r="C15" s="130" t="s">
        <v>24</v>
      </c>
      <c r="D15" s="130" t="s">
        <v>25</v>
      </c>
      <c r="E15" s="130" t="s">
        <v>26</v>
      </c>
      <c r="F15" s="130" t="s">
        <v>27</v>
      </c>
      <c r="G15" s="130" t="s">
        <v>28</v>
      </c>
      <c r="H15" s="130" t="s">
        <v>21</v>
      </c>
      <c r="I15" s="185" t="s">
        <v>29</v>
      </c>
      <c r="J15" s="186" t="s">
        <v>24</v>
      </c>
      <c r="K15" s="186" t="s">
        <v>25</v>
      </c>
      <c r="L15" s="186" t="s">
        <v>26</v>
      </c>
      <c r="M15" s="186" t="s">
        <v>27</v>
      </c>
      <c r="N15" s="186" t="s">
        <v>28</v>
      </c>
      <c r="O15" s="186" t="s">
        <v>21</v>
      </c>
      <c r="P15" s="187" t="s">
        <v>30</v>
      </c>
      <c r="Q15" s="188" t="s">
        <v>5</v>
      </c>
      <c r="R15" s="114"/>
      <c r="S15" s="114"/>
      <c r="T15" s="114"/>
      <c r="U15" s="114"/>
      <c r="V15" s="114"/>
      <c r="W15" s="114"/>
      <c r="X15" s="114"/>
      <c r="Y15" s="114"/>
      <c r="Z15" s="114"/>
      <c r="AA15" s="114"/>
    </row>
    <row r="16" spans="1:27" ht="12.75">
      <c r="A16" s="115">
        <v>1</v>
      </c>
      <c r="B16" s="189" t="s">
        <v>306</v>
      </c>
      <c r="C16" s="2">
        <v>41</v>
      </c>
      <c r="D16" s="2">
        <v>43</v>
      </c>
      <c r="E16" s="2">
        <v>2</v>
      </c>
      <c r="F16" s="2"/>
      <c r="G16" s="2"/>
      <c r="H16" s="2">
        <v>4</v>
      </c>
      <c r="I16" s="190">
        <f t="shared" ref="I16:I44" si="1">C16*25+D16*30+E16*50+F16*40+G16*35+H16*25</f>
        <v>2515</v>
      </c>
      <c r="J16" s="191">
        <v>40</v>
      </c>
      <c r="K16" s="191">
        <v>30</v>
      </c>
      <c r="L16" s="191"/>
      <c r="M16" s="191"/>
      <c r="N16" s="191"/>
      <c r="O16" s="141"/>
      <c r="P16" s="139">
        <f t="shared" ref="P16:P32" si="2">J16*25+K16*30+L16*50+M16*40+N16*35+O16*25</f>
        <v>1900</v>
      </c>
      <c r="Q16" s="76" t="s">
        <v>41</v>
      </c>
    </row>
    <row r="17" spans="1:17" ht="12.75">
      <c r="A17" s="115">
        <v>2</v>
      </c>
      <c r="B17" s="192" t="s">
        <v>352</v>
      </c>
      <c r="C17" s="2"/>
      <c r="D17" s="2"/>
      <c r="E17" s="2"/>
      <c r="F17" s="2"/>
      <c r="G17" s="2"/>
      <c r="H17" s="4"/>
      <c r="I17" s="190">
        <f t="shared" si="1"/>
        <v>0</v>
      </c>
      <c r="J17" s="191"/>
      <c r="K17" s="191"/>
      <c r="L17" s="191"/>
      <c r="M17" s="191"/>
      <c r="N17" s="191"/>
      <c r="O17" s="141"/>
      <c r="P17" s="139">
        <f t="shared" si="2"/>
        <v>0</v>
      </c>
      <c r="Q17" s="77"/>
    </row>
    <row r="18" spans="1:17" ht="12.75">
      <c r="A18" s="193"/>
      <c r="B18" s="194" t="s">
        <v>353</v>
      </c>
      <c r="C18" s="2">
        <v>8</v>
      </c>
      <c r="D18" s="2">
        <v>4</v>
      </c>
      <c r="E18" s="2">
        <v>5</v>
      </c>
      <c r="F18" s="2">
        <v>40</v>
      </c>
      <c r="G18" s="2">
        <v>25</v>
      </c>
      <c r="H18" s="2">
        <v>5</v>
      </c>
      <c r="I18" s="190">
        <f t="shared" si="1"/>
        <v>3170</v>
      </c>
      <c r="J18" s="191"/>
      <c r="K18" s="191"/>
      <c r="L18" s="191">
        <v>10</v>
      </c>
      <c r="M18" s="191">
        <v>60</v>
      </c>
      <c r="N18" s="191">
        <v>60</v>
      </c>
      <c r="O18" s="141"/>
      <c r="P18" s="139">
        <f t="shared" si="2"/>
        <v>5000</v>
      </c>
      <c r="Q18" s="76" t="s">
        <v>41</v>
      </c>
    </row>
    <row r="19" spans="1:17" ht="12.75">
      <c r="A19" s="115"/>
      <c r="B19" s="195" t="s">
        <v>354</v>
      </c>
      <c r="C19" s="2">
        <v>4</v>
      </c>
      <c r="D19" s="2">
        <v>2</v>
      </c>
      <c r="E19" s="2"/>
      <c r="F19" s="2">
        <v>40</v>
      </c>
      <c r="G19" s="2">
        <v>15</v>
      </c>
      <c r="H19" s="4"/>
      <c r="I19" s="190">
        <f t="shared" si="1"/>
        <v>2285</v>
      </c>
      <c r="J19" s="191"/>
      <c r="K19" s="191"/>
      <c r="L19" s="191"/>
      <c r="M19" s="191"/>
      <c r="N19" s="191"/>
      <c r="O19" s="141"/>
      <c r="P19" s="139">
        <f t="shared" si="2"/>
        <v>0</v>
      </c>
      <c r="Q19" s="76" t="s">
        <v>128</v>
      </c>
    </row>
    <row r="20" spans="1:17" ht="12.75">
      <c r="A20" s="115"/>
      <c r="B20" s="195" t="s">
        <v>355</v>
      </c>
      <c r="C20" s="2"/>
      <c r="D20" s="2"/>
      <c r="E20" s="2"/>
      <c r="F20" s="2"/>
      <c r="G20" s="2"/>
      <c r="H20" s="4"/>
      <c r="I20" s="190">
        <f t="shared" si="1"/>
        <v>0</v>
      </c>
      <c r="J20" s="191"/>
      <c r="K20" s="191"/>
      <c r="L20" s="191"/>
      <c r="M20" s="191"/>
      <c r="N20" s="191"/>
      <c r="O20" s="141"/>
      <c r="P20" s="139">
        <f t="shared" si="2"/>
        <v>0</v>
      </c>
      <c r="Q20" s="76" t="s">
        <v>128</v>
      </c>
    </row>
    <row r="21" spans="1:17" ht="12.75">
      <c r="A21" s="115"/>
      <c r="B21" s="195" t="s">
        <v>356</v>
      </c>
      <c r="C21" s="2">
        <v>1</v>
      </c>
      <c r="D21" s="2"/>
      <c r="E21" s="2"/>
      <c r="F21" s="2">
        <v>3</v>
      </c>
      <c r="G21" s="2"/>
      <c r="H21" s="4"/>
      <c r="I21" s="190">
        <f t="shared" si="1"/>
        <v>145</v>
      </c>
      <c r="J21" s="191"/>
      <c r="K21" s="191"/>
      <c r="L21" s="191"/>
      <c r="M21" s="191"/>
      <c r="N21" s="191"/>
      <c r="O21" s="141"/>
      <c r="P21" s="139">
        <f t="shared" si="2"/>
        <v>0</v>
      </c>
      <c r="Q21" s="76" t="s">
        <v>128</v>
      </c>
    </row>
    <row r="22" spans="1:17" ht="12.75">
      <c r="A22" s="115"/>
      <c r="B22" s="195" t="s">
        <v>357</v>
      </c>
      <c r="C22" s="2">
        <v>2</v>
      </c>
      <c r="D22" s="2"/>
      <c r="E22" s="2"/>
      <c r="F22" s="2">
        <v>14</v>
      </c>
      <c r="G22" s="2"/>
      <c r="H22" s="4"/>
      <c r="I22" s="190">
        <f t="shared" si="1"/>
        <v>610</v>
      </c>
      <c r="J22" s="191"/>
      <c r="K22" s="191"/>
      <c r="L22" s="191"/>
      <c r="M22" s="191"/>
      <c r="N22" s="191"/>
      <c r="O22" s="141"/>
      <c r="P22" s="139">
        <f t="shared" si="2"/>
        <v>0</v>
      </c>
      <c r="Q22" s="76" t="s">
        <v>128</v>
      </c>
    </row>
    <row r="23" spans="1:17" ht="12.75">
      <c r="A23" s="193"/>
      <c r="B23" s="194" t="s">
        <v>358</v>
      </c>
      <c r="C23" s="2">
        <v>1</v>
      </c>
      <c r="D23" s="2"/>
      <c r="E23" s="2"/>
      <c r="F23" s="2">
        <v>5</v>
      </c>
      <c r="G23" s="2"/>
      <c r="H23" s="4"/>
      <c r="I23" s="190">
        <f t="shared" si="1"/>
        <v>225</v>
      </c>
      <c r="J23" s="191"/>
      <c r="K23" s="191"/>
      <c r="L23" s="191"/>
      <c r="M23" s="191"/>
      <c r="N23" s="191"/>
      <c r="O23" s="141"/>
      <c r="P23" s="139">
        <f t="shared" si="2"/>
        <v>0</v>
      </c>
      <c r="Q23" s="76" t="s">
        <v>128</v>
      </c>
    </row>
    <row r="24" spans="1:17" ht="12.75">
      <c r="A24" s="2">
        <v>3</v>
      </c>
      <c r="B24" s="196" t="s">
        <v>359</v>
      </c>
      <c r="C24" s="2">
        <v>2</v>
      </c>
      <c r="D24" s="2"/>
      <c r="E24" s="2">
        <v>5</v>
      </c>
      <c r="F24" s="2">
        <v>65</v>
      </c>
      <c r="G24" s="4"/>
      <c r="H24" s="4"/>
      <c r="I24" s="190">
        <f t="shared" si="1"/>
        <v>2900</v>
      </c>
      <c r="J24" s="191"/>
      <c r="K24" s="191"/>
      <c r="L24" s="191"/>
      <c r="M24" s="191"/>
      <c r="N24" s="141"/>
      <c r="O24" s="141"/>
      <c r="P24" s="139">
        <f t="shared" si="2"/>
        <v>0</v>
      </c>
      <c r="Q24" s="77"/>
    </row>
    <row r="25" spans="1:17" ht="12.75">
      <c r="A25" s="2">
        <v>4</v>
      </c>
      <c r="B25" s="196" t="s">
        <v>360</v>
      </c>
      <c r="C25" s="2">
        <v>1</v>
      </c>
      <c r="D25" s="2"/>
      <c r="E25" s="2"/>
      <c r="F25" s="2">
        <v>10</v>
      </c>
      <c r="G25" s="4"/>
      <c r="H25" s="4"/>
      <c r="I25" s="190">
        <f t="shared" si="1"/>
        <v>425</v>
      </c>
      <c r="J25" s="191">
        <v>5</v>
      </c>
      <c r="K25" s="191"/>
      <c r="L25" s="191">
        <v>2</v>
      </c>
      <c r="M25" s="191">
        <v>25</v>
      </c>
      <c r="N25" s="141"/>
      <c r="O25" s="141"/>
      <c r="P25" s="139">
        <f t="shared" si="2"/>
        <v>1225</v>
      </c>
      <c r="Q25" s="76" t="s">
        <v>128</v>
      </c>
    </row>
    <row r="26" spans="1:17" ht="12.75">
      <c r="A26" s="2">
        <v>5</v>
      </c>
      <c r="B26" s="2" t="s">
        <v>361</v>
      </c>
      <c r="C26" s="2">
        <v>4</v>
      </c>
      <c r="D26" s="2">
        <v>1</v>
      </c>
      <c r="E26" s="2">
        <v>1</v>
      </c>
      <c r="F26" s="2">
        <v>28</v>
      </c>
      <c r="G26" s="2">
        <v>10</v>
      </c>
      <c r="H26" s="4"/>
      <c r="I26" s="190">
        <f t="shared" si="1"/>
        <v>1650</v>
      </c>
      <c r="J26" s="191">
        <v>6</v>
      </c>
      <c r="K26" s="141"/>
      <c r="L26" s="191">
        <v>2</v>
      </c>
      <c r="M26" s="191">
        <v>16</v>
      </c>
      <c r="N26" s="191">
        <v>8</v>
      </c>
      <c r="O26" s="141"/>
      <c r="P26" s="139">
        <f t="shared" si="2"/>
        <v>1170</v>
      </c>
      <c r="Q26" s="76" t="s">
        <v>41</v>
      </c>
    </row>
    <row r="27" spans="1:17" ht="12.75">
      <c r="A27" s="197">
        <v>6</v>
      </c>
      <c r="B27" s="2" t="s">
        <v>362</v>
      </c>
      <c r="C27" s="198"/>
      <c r="D27" s="198"/>
      <c r="E27" s="197"/>
      <c r="F27" s="198"/>
      <c r="G27" s="198"/>
      <c r="H27" s="198"/>
      <c r="I27" s="199">
        <f t="shared" si="1"/>
        <v>0</v>
      </c>
      <c r="J27" s="141"/>
      <c r="K27" s="141"/>
      <c r="L27" s="191"/>
      <c r="M27" s="141"/>
      <c r="N27" s="141"/>
      <c r="O27" s="141"/>
      <c r="P27" s="139">
        <f t="shared" si="2"/>
        <v>0</v>
      </c>
      <c r="Q27" s="76" t="s">
        <v>41</v>
      </c>
    </row>
    <row r="28" spans="1:17" ht="12.75">
      <c r="A28" s="2">
        <v>7</v>
      </c>
      <c r="B28" s="2" t="s">
        <v>363</v>
      </c>
      <c r="C28" s="2">
        <v>2</v>
      </c>
      <c r="D28" s="2">
        <v>1</v>
      </c>
      <c r="E28" s="2">
        <v>1</v>
      </c>
      <c r="F28" s="2">
        <v>10</v>
      </c>
      <c r="G28" s="2">
        <v>15</v>
      </c>
      <c r="H28" s="4"/>
      <c r="I28" s="190">
        <f t="shared" si="1"/>
        <v>1055</v>
      </c>
      <c r="J28" s="191">
        <v>6</v>
      </c>
      <c r="K28" s="141"/>
      <c r="L28" s="191">
        <v>3</v>
      </c>
      <c r="M28" s="191">
        <v>8</v>
      </c>
      <c r="N28" s="191">
        <v>20</v>
      </c>
      <c r="O28" s="141"/>
      <c r="P28" s="139">
        <f t="shared" si="2"/>
        <v>1320</v>
      </c>
      <c r="Q28" s="76" t="s">
        <v>41</v>
      </c>
    </row>
    <row r="29" spans="1:17" ht="12.75">
      <c r="A29" s="2">
        <v>8</v>
      </c>
      <c r="B29" s="2" t="s">
        <v>364</v>
      </c>
      <c r="C29" s="2">
        <v>10</v>
      </c>
      <c r="D29" s="2">
        <v>4</v>
      </c>
      <c r="E29" s="2">
        <v>2</v>
      </c>
      <c r="F29" s="2">
        <v>20</v>
      </c>
      <c r="G29" s="2">
        <v>5</v>
      </c>
      <c r="H29" s="4"/>
      <c r="I29" s="190">
        <f t="shared" si="1"/>
        <v>1445</v>
      </c>
      <c r="J29" s="191">
        <v>2</v>
      </c>
      <c r="K29" s="191">
        <v>2</v>
      </c>
      <c r="L29" s="191">
        <v>1</v>
      </c>
      <c r="M29" s="191">
        <v>5</v>
      </c>
      <c r="N29" s="191"/>
      <c r="O29" s="141"/>
      <c r="P29" s="139">
        <f t="shared" si="2"/>
        <v>360</v>
      </c>
      <c r="Q29" s="76" t="s">
        <v>41</v>
      </c>
    </row>
    <row r="30" spans="1:17" ht="140.25">
      <c r="A30" s="2">
        <v>9</v>
      </c>
      <c r="B30" s="3" t="s">
        <v>365</v>
      </c>
      <c r="C30" s="2"/>
      <c r="D30" s="2">
        <v>4</v>
      </c>
      <c r="E30" s="2">
        <v>5</v>
      </c>
      <c r="F30" s="2">
        <v>46</v>
      </c>
      <c r="G30" s="2"/>
      <c r="H30" s="4"/>
      <c r="I30" s="190">
        <f t="shared" si="1"/>
        <v>2210</v>
      </c>
      <c r="J30" s="191">
        <v>10</v>
      </c>
      <c r="K30" s="191">
        <v>5</v>
      </c>
      <c r="L30" s="191">
        <v>5</v>
      </c>
      <c r="M30" s="191">
        <v>40</v>
      </c>
      <c r="N30" s="191"/>
      <c r="O30" s="141"/>
      <c r="P30" s="139">
        <f t="shared" si="2"/>
        <v>2250</v>
      </c>
      <c r="Q30" s="76" t="s">
        <v>41</v>
      </c>
    </row>
    <row r="31" spans="1:17" ht="12.75">
      <c r="A31" s="200">
        <v>10</v>
      </c>
      <c r="B31" s="2" t="s">
        <v>366</v>
      </c>
      <c r="C31" s="2">
        <v>8</v>
      </c>
      <c r="D31" s="2">
        <v>4</v>
      </c>
      <c r="E31" s="2">
        <v>8</v>
      </c>
      <c r="F31" s="2">
        <v>48</v>
      </c>
      <c r="G31" s="2">
        <v>15</v>
      </c>
      <c r="H31" s="4"/>
      <c r="I31" s="190">
        <f t="shared" si="1"/>
        <v>3165</v>
      </c>
      <c r="J31" s="191">
        <v>12</v>
      </c>
      <c r="K31" s="191"/>
      <c r="L31" s="191">
        <v>9</v>
      </c>
      <c r="M31" s="191">
        <v>64</v>
      </c>
      <c r="N31" s="191">
        <v>26</v>
      </c>
      <c r="O31" s="141"/>
      <c r="P31" s="139">
        <f t="shared" si="2"/>
        <v>4220</v>
      </c>
      <c r="Q31" s="76" t="s">
        <v>41</v>
      </c>
    </row>
    <row r="32" spans="1:17" ht="25.5">
      <c r="A32" s="2">
        <v>11</v>
      </c>
      <c r="B32" s="3" t="s">
        <v>367</v>
      </c>
      <c r="C32" s="2"/>
      <c r="D32" s="2"/>
      <c r="E32" s="2"/>
      <c r="F32" s="2">
        <v>7</v>
      </c>
      <c r="G32" s="2"/>
      <c r="H32" s="4"/>
      <c r="I32" s="190">
        <f t="shared" si="1"/>
        <v>280</v>
      </c>
      <c r="J32" s="191"/>
      <c r="K32" s="191"/>
      <c r="L32" s="191">
        <v>1</v>
      </c>
      <c r="M32" s="191">
        <v>15</v>
      </c>
      <c r="N32" s="191"/>
      <c r="O32" s="141"/>
      <c r="P32" s="139">
        <f t="shared" si="2"/>
        <v>650</v>
      </c>
      <c r="Q32" s="77"/>
    </row>
    <row r="33" spans="1:16" ht="12.75" hidden="1">
      <c r="A33" s="201"/>
      <c r="B33" s="201"/>
      <c r="C33" s="201"/>
      <c r="D33" s="201"/>
      <c r="E33" s="201"/>
      <c r="F33" s="201"/>
      <c r="G33" s="201"/>
      <c r="H33" s="202"/>
      <c r="I33" s="203">
        <f t="shared" si="1"/>
        <v>0</v>
      </c>
    </row>
    <row r="34" spans="1:16" ht="12.75" hidden="1">
      <c r="A34" s="115"/>
      <c r="B34" s="119"/>
      <c r="C34" s="115"/>
      <c r="D34" s="116"/>
      <c r="E34" s="115"/>
      <c r="F34" s="116"/>
      <c r="G34" s="115"/>
      <c r="H34" s="116"/>
      <c r="I34" s="117">
        <f t="shared" si="1"/>
        <v>0</v>
      </c>
    </row>
    <row r="35" spans="1:16" ht="12.75" hidden="1">
      <c r="A35" s="115"/>
      <c r="B35" s="121"/>
      <c r="C35" s="116"/>
      <c r="D35" s="116"/>
      <c r="E35" s="116"/>
      <c r="F35" s="116"/>
      <c r="G35" s="115"/>
      <c r="H35" s="116"/>
      <c r="I35" s="117">
        <f t="shared" si="1"/>
        <v>0</v>
      </c>
    </row>
    <row r="36" spans="1:16" ht="12.75" hidden="1">
      <c r="A36" s="115"/>
      <c r="B36" s="115"/>
      <c r="C36" s="116"/>
      <c r="D36" s="116"/>
      <c r="E36" s="116"/>
      <c r="F36" s="115"/>
      <c r="G36" s="115"/>
      <c r="H36" s="116"/>
      <c r="I36" s="117">
        <f t="shared" si="1"/>
        <v>0</v>
      </c>
    </row>
    <row r="37" spans="1:16" ht="12.75" hidden="1">
      <c r="A37" s="115"/>
      <c r="B37" s="122"/>
      <c r="C37" s="115"/>
      <c r="D37" s="116"/>
      <c r="E37" s="116"/>
      <c r="F37" s="116"/>
      <c r="G37" s="116"/>
      <c r="H37" s="116"/>
      <c r="I37" s="117">
        <f t="shared" si="1"/>
        <v>0</v>
      </c>
    </row>
    <row r="38" spans="1:16" ht="12.75" hidden="1">
      <c r="A38" s="116"/>
      <c r="B38" s="119"/>
      <c r="C38" s="115"/>
      <c r="D38" s="115"/>
      <c r="E38" s="115"/>
      <c r="F38" s="115"/>
      <c r="G38" s="115"/>
      <c r="H38" s="116"/>
      <c r="I38" s="117">
        <f t="shared" si="1"/>
        <v>0</v>
      </c>
    </row>
    <row r="39" spans="1:16" ht="12.75" hidden="1">
      <c r="A39" s="116"/>
      <c r="B39" s="119"/>
      <c r="C39" s="116"/>
      <c r="D39" s="116"/>
      <c r="E39" s="116"/>
      <c r="F39" s="116"/>
      <c r="G39" s="115"/>
      <c r="H39" s="116"/>
      <c r="I39" s="117">
        <f t="shared" si="1"/>
        <v>0</v>
      </c>
    </row>
    <row r="40" spans="1:16" ht="12.75" hidden="1">
      <c r="A40" s="115"/>
      <c r="B40" s="115"/>
      <c r="C40" s="115"/>
      <c r="D40" s="115"/>
      <c r="E40" s="115"/>
      <c r="F40" s="116"/>
      <c r="G40" s="116"/>
      <c r="H40" s="116"/>
      <c r="I40" s="117">
        <f t="shared" si="1"/>
        <v>0</v>
      </c>
    </row>
    <row r="41" spans="1:16" ht="12.75" hidden="1">
      <c r="A41" s="115"/>
      <c r="B41" s="115"/>
      <c r="C41" s="115"/>
      <c r="D41" s="115"/>
      <c r="E41" s="115"/>
      <c r="F41" s="116"/>
      <c r="G41" s="116"/>
      <c r="H41" s="116"/>
      <c r="I41" s="117">
        <f t="shared" si="1"/>
        <v>0</v>
      </c>
    </row>
    <row r="42" spans="1:16" ht="12.75" hidden="1">
      <c r="A42" s="115"/>
      <c r="B42" s="115"/>
      <c r="C42" s="115"/>
      <c r="D42" s="115"/>
      <c r="E42" s="115"/>
      <c r="F42" s="116"/>
      <c r="G42" s="116"/>
      <c r="H42" s="116"/>
      <c r="I42" s="117">
        <f t="shared" si="1"/>
        <v>0</v>
      </c>
    </row>
    <row r="43" spans="1:16" ht="12.75" hidden="1">
      <c r="A43" s="115"/>
      <c r="B43" s="115"/>
      <c r="C43" s="115"/>
      <c r="D43" s="115"/>
      <c r="E43" s="115"/>
      <c r="F43" s="116"/>
      <c r="G43" s="116"/>
      <c r="H43" s="116"/>
      <c r="I43" s="117">
        <f t="shared" si="1"/>
        <v>0</v>
      </c>
    </row>
    <row r="44" spans="1:16" ht="12.75" hidden="1">
      <c r="A44" s="115"/>
      <c r="B44" s="115"/>
      <c r="C44" s="115"/>
      <c r="D44" s="115"/>
      <c r="E44" s="115"/>
      <c r="F44" s="116"/>
      <c r="G44" s="116"/>
      <c r="H44" s="116"/>
      <c r="I44" s="117">
        <f t="shared" si="1"/>
        <v>0</v>
      </c>
    </row>
    <row r="45" spans="1:16" ht="12.75">
      <c r="A45" s="496"/>
      <c r="B45" s="480"/>
      <c r="C45" s="480"/>
      <c r="D45" s="480"/>
      <c r="E45" s="480"/>
      <c r="F45" s="480"/>
      <c r="G45" s="480"/>
      <c r="H45" s="204" t="s">
        <v>37</v>
      </c>
      <c r="I45" s="117">
        <f>SUM(I16:I44)</f>
        <v>22080</v>
      </c>
      <c r="O45" s="205" t="s">
        <v>37</v>
      </c>
      <c r="P45" s="139">
        <f>SUM(P16:P32)</f>
        <v>18095</v>
      </c>
    </row>
    <row r="46" spans="1:16" ht="12.75">
      <c r="A46" s="479" t="s">
        <v>343</v>
      </c>
      <c r="B46" s="480"/>
      <c r="C46" s="480"/>
      <c r="D46" s="480"/>
      <c r="E46" s="480"/>
      <c r="F46" s="480"/>
      <c r="G46" s="480"/>
      <c r="H46" s="480"/>
      <c r="I46" s="478"/>
      <c r="J46" s="188" t="s">
        <v>5</v>
      </c>
    </row>
    <row r="47" spans="1:16" ht="12.75">
      <c r="A47" s="206">
        <v>12</v>
      </c>
      <c r="B47" s="207" t="s">
        <v>368</v>
      </c>
      <c r="C47" s="207">
        <v>1</v>
      </c>
      <c r="D47" s="207">
        <v>1</v>
      </c>
      <c r="E47" s="34"/>
      <c r="F47" s="207">
        <v>12</v>
      </c>
      <c r="G47" s="34"/>
      <c r="H47" s="34"/>
      <c r="I47" s="44">
        <f t="shared" ref="I47:I49" si="3">C47*25+D47*30+E47*50+F47*40+G47*35+H47*25</f>
        <v>535</v>
      </c>
      <c r="J47" s="46" t="s">
        <v>41</v>
      </c>
    </row>
    <row r="48" spans="1:16" ht="25.5">
      <c r="A48" s="207">
        <v>13</v>
      </c>
      <c r="B48" s="208" t="s">
        <v>369</v>
      </c>
      <c r="C48" s="206">
        <v>12</v>
      </c>
      <c r="D48" s="206">
        <v>4</v>
      </c>
      <c r="E48" s="206">
        <v>1</v>
      </c>
      <c r="F48" s="206">
        <v>2</v>
      </c>
      <c r="G48" s="34"/>
      <c r="H48" s="34"/>
      <c r="I48" s="44">
        <f t="shared" si="3"/>
        <v>550</v>
      </c>
      <c r="J48" s="76" t="s">
        <v>41</v>
      </c>
    </row>
    <row r="49" spans="1:10" ht="12.75">
      <c r="A49" s="207">
        <v>14</v>
      </c>
      <c r="B49" s="208" t="s">
        <v>370</v>
      </c>
      <c r="C49" s="206">
        <v>1</v>
      </c>
      <c r="D49" s="206">
        <v>1</v>
      </c>
      <c r="E49" s="33"/>
      <c r="F49" s="206">
        <v>2</v>
      </c>
      <c r="G49" s="34"/>
      <c r="H49" s="34"/>
      <c r="I49" s="44">
        <f t="shared" si="3"/>
        <v>135</v>
      </c>
      <c r="J49" s="76" t="s">
        <v>41</v>
      </c>
    </row>
    <row r="50" spans="1:10" ht="12.75">
      <c r="A50" s="12"/>
      <c r="B50" s="12"/>
      <c r="C50" s="12"/>
      <c r="D50" s="12"/>
      <c r="E50" s="12"/>
      <c r="F50" s="12"/>
      <c r="G50" s="12"/>
      <c r="H50" s="40" t="s">
        <v>342</v>
      </c>
      <c r="I50" s="44">
        <f>SUM(I47:I49)</f>
        <v>1220</v>
      </c>
      <c r="J50" s="12"/>
    </row>
    <row r="51" spans="1:10" ht="12.75">
      <c r="A51" s="12"/>
      <c r="B51" s="12"/>
      <c r="C51" s="12"/>
      <c r="D51" s="12"/>
      <c r="E51" s="12"/>
      <c r="F51" s="12"/>
      <c r="G51" s="12"/>
      <c r="H51" s="40" t="s">
        <v>349</v>
      </c>
      <c r="I51" s="44">
        <f>I50+I45</f>
        <v>23300</v>
      </c>
      <c r="J51" s="12"/>
    </row>
  </sheetData>
  <mergeCells count="6">
    <mergeCell ref="A46:I46"/>
    <mergeCell ref="A12:D12"/>
    <mergeCell ref="A14:B14"/>
    <mergeCell ref="C14:I14"/>
    <mergeCell ref="J14:Q14"/>
    <mergeCell ref="A45:G45"/>
  </mergeCells>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AB47"/>
  <sheetViews>
    <sheetView workbookViewId="0"/>
  </sheetViews>
  <sheetFormatPr defaultColWidth="12.5703125" defaultRowHeight="15.75" customHeight="1"/>
  <cols>
    <col min="1" max="1" width="4.85546875" customWidth="1"/>
    <col min="2" max="2" width="50" customWidth="1"/>
    <col min="6" max="6" width="12" customWidth="1"/>
    <col min="12" max="12" width="23.140625" customWidth="1"/>
  </cols>
  <sheetData>
    <row r="1" spans="1:28">
      <c r="A1" s="76" t="s">
        <v>11</v>
      </c>
      <c r="B1" s="76" t="s">
        <v>12</v>
      </c>
      <c r="C1" s="76" t="s">
        <v>3</v>
      </c>
      <c r="D1" s="76" t="s">
        <v>13</v>
      </c>
      <c r="E1" s="76" t="s">
        <v>4</v>
      </c>
    </row>
    <row r="2" spans="1:28">
      <c r="A2" s="2">
        <v>1</v>
      </c>
      <c r="B2" s="106" t="s">
        <v>14</v>
      </c>
      <c r="C2" s="107">
        <v>46</v>
      </c>
      <c r="D2" s="15">
        <v>30</v>
      </c>
      <c r="E2" s="15">
        <f t="shared" ref="E2:E11" si="0">D2*C2</f>
        <v>1380</v>
      </c>
    </row>
    <row r="3" spans="1:28">
      <c r="A3" s="2">
        <v>2</v>
      </c>
      <c r="B3" s="106" t="s">
        <v>15</v>
      </c>
      <c r="C3" s="107">
        <v>118</v>
      </c>
      <c r="D3" s="107">
        <v>25</v>
      </c>
      <c r="E3" s="107">
        <f t="shared" si="0"/>
        <v>2950</v>
      </c>
    </row>
    <row r="4" spans="1:28">
      <c r="A4" s="2">
        <v>3</v>
      </c>
      <c r="B4" s="106" t="s">
        <v>16</v>
      </c>
      <c r="C4" s="107">
        <v>24</v>
      </c>
      <c r="D4" s="107">
        <v>25</v>
      </c>
      <c r="E4" s="107">
        <f t="shared" si="0"/>
        <v>600</v>
      </c>
    </row>
    <row r="5" spans="1:28">
      <c r="A5" s="2">
        <v>4</v>
      </c>
      <c r="B5" s="108" t="s">
        <v>17</v>
      </c>
      <c r="C5" s="124">
        <v>20</v>
      </c>
      <c r="D5" s="19">
        <v>50</v>
      </c>
      <c r="E5" s="19">
        <f t="shared" si="0"/>
        <v>1000</v>
      </c>
    </row>
    <row r="6" spans="1:28">
      <c r="A6" s="2">
        <v>5</v>
      </c>
      <c r="B6" s="109" t="s">
        <v>18</v>
      </c>
      <c r="C6" s="110">
        <v>90</v>
      </c>
      <c r="D6" s="21">
        <v>40</v>
      </c>
      <c r="E6" s="21">
        <f t="shared" si="0"/>
        <v>3600</v>
      </c>
    </row>
    <row r="7" spans="1:28">
      <c r="A7" s="2">
        <v>6</v>
      </c>
      <c r="B7" s="109" t="s">
        <v>19</v>
      </c>
      <c r="C7" s="110">
        <v>161.5</v>
      </c>
      <c r="D7" s="110">
        <v>40</v>
      </c>
      <c r="E7" s="110">
        <f t="shared" si="0"/>
        <v>6460</v>
      </c>
    </row>
    <row r="8" spans="1:28">
      <c r="A8" s="2">
        <v>7</v>
      </c>
      <c r="B8" s="109" t="s">
        <v>350</v>
      </c>
      <c r="C8" s="110">
        <v>25</v>
      </c>
      <c r="D8" s="110">
        <v>40</v>
      </c>
      <c r="E8" s="110">
        <f t="shared" si="0"/>
        <v>1000</v>
      </c>
    </row>
    <row r="9" spans="1:28">
      <c r="A9" s="2">
        <v>8</v>
      </c>
      <c r="B9" s="111" t="s">
        <v>20</v>
      </c>
      <c r="C9" s="125">
        <v>142</v>
      </c>
      <c r="D9" s="24">
        <v>35</v>
      </c>
      <c r="E9" s="24">
        <f t="shared" si="0"/>
        <v>4970</v>
      </c>
    </row>
    <row r="10" spans="1:28">
      <c r="A10" s="2">
        <v>9</v>
      </c>
      <c r="B10" s="111" t="s">
        <v>20</v>
      </c>
      <c r="C10" s="24"/>
      <c r="D10" s="24">
        <v>35</v>
      </c>
      <c r="E10" s="24">
        <f t="shared" si="0"/>
        <v>0</v>
      </c>
    </row>
    <row r="11" spans="1:28">
      <c r="A11" s="2">
        <v>10</v>
      </c>
      <c r="B11" s="111" t="s">
        <v>21</v>
      </c>
      <c r="C11" s="125"/>
      <c r="D11" s="26">
        <v>25</v>
      </c>
      <c r="E11" s="24">
        <f t="shared" si="0"/>
        <v>0</v>
      </c>
    </row>
    <row r="12" spans="1:28">
      <c r="A12" s="495"/>
      <c r="B12" s="475"/>
      <c r="C12" s="475"/>
      <c r="D12" s="476"/>
      <c r="E12" s="27">
        <f>SUM(E2:E11)</f>
        <v>21960</v>
      </c>
    </row>
    <row r="14" spans="1:28">
      <c r="A14" s="495"/>
      <c r="B14" s="476"/>
      <c r="C14" s="494" t="s">
        <v>22</v>
      </c>
      <c r="D14" s="475"/>
      <c r="E14" s="475"/>
      <c r="F14" s="475"/>
      <c r="G14" s="475"/>
      <c r="H14" s="475"/>
      <c r="I14" s="476"/>
      <c r="J14" s="209" t="s">
        <v>5</v>
      </c>
      <c r="K14" s="500" t="s">
        <v>23</v>
      </c>
      <c r="L14" s="480"/>
      <c r="M14" s="480"/>
      <c r="N14" s="480"/>
      <c r="O14" s="480"/>
      <c r="P14" s="480"/>
      <c r="Q14" s="478"/>
    </row>
    <row r="15" spans="1:28">
      <c r="A15" s="126" t="s">
        <v>11</v>
      </c>
      <c r="B15" s="126" t="s">
        <v>0</v>
      </c>
      <c r="C15" s="126" t="s">
        <v>24</v>
      </c>
      <c r="D15" s="126" t="s">
        <v>25</v>
      </c>
      <c r="E15" s="126" t="s">
        <v>26</v>
      </c>
      <c r="F15" s="126" t="s">
        <v>27</v>
      </c>
      <c r="G15" s="126" t="s">
        <v>28</v>
      </c>
      <c r="H15" s="126" t="s">
        <v>21</v>
      </c>
      <c r="I15" s="210" t="s">
        <v>30</v>
      </c>
      <c r="J15" s="211"/>
      <c r="K15" s="212" t="s">
        <v>24</v>
      </c>
      <c r="L15" s="213" t="s">
        <v>25</v>
      </c>
      <c r="M15" s="213" t="s">
        <v>26</v>
      </c>
      <c r="N15" s="213" t="s">
        <v>27</v>
      </c>
      <c r="O15" s="213" t="s">
        <v>28</v>
      </c>
      <c r="P15" s="213" t="s">
        <v>21</v>
      </c>
      <c r="Q15" s="214" t="s">
        <v>30</v>
      </c>
      <c r="R15" s="114"/>
      <c r="S15" s="114"/>
      <c r="T15" s="114"/>
      <c r="U15" s="114"/>
      <c r="V15" s="114"/>
      <c r="W15" s="114"/>
      <c r="X15" s="114"/>
      <c r="Y15" s="114"/>
      <c r="Z15" s="114"/>
      <c r="AA15" s="114"/>
      <c r="AB15" s="114"/>
    </row>
    <row r="16" spans="1:28">
      <c r="A16" s="115">
        <v>1</v>
      </c>
      <c r="B16" s="215" t="s">
        <v>352</v>
      </c>
      <c r="C16" s="115"/>
      <c r="D16" s="115"/>
      <c r="E16" s="115"/>
      <c r="F16" s="115"/>
      <c r="G16" s="115"/>
      <c r="H16" s="116"/>
      <c r="I16" s="216">
        <f t="shared" ref="I16:I34" si="1">C16*25+D16*30+E16*50+F16*40+G16*35+H16*25</f>
        <v>0</v>
      </c>
      <c r="J16" s="217"/>
      <c r="K16" s="218">
        <v>16</v>
      </c>
      <c r="L16" s="219">
        <v>4</v>
      </c>
      <c r="M16" s="219"/>
      <c r="N16" s="219"/>
      <c r="O16" s="219"/>
      <c r="P16" s="220"/>
      <c r="Q16" s="221">
        <f t="shared" ref="Q16:Q34" si="2">K16*25+L16*30+M16*50+N16*40+O16*35+P16*25</f>
        <v>520</v>
      </c>
    </row>
    <row r="17" spans="1:17">
      <c r="A17" s="115"/>
      <c r="B17" s="222" t="s">
        <v>354</v>
      </c>
      <c r="C17" s="115">
        <v>6</v>
      </c>
      <c r="D17" s="115">
        <v>6</v>
      </c>
      <c r="E17" s="115">
        <v>6</v>
      </c>
      <c r="F17" s="115">
        <v>37</v>
      </c>
      <c r="G17" s="115">
        <v>45</v>
      </c>
      <c r="H17" s="116"/>
      <c r="I17" s="216">
        <f t="shared" si="1"/>
        <v>3685</v>
      </c>
      <c r="J17" s="217" t="s">
        <v>41</v>
      </c>
      <c r="K17" s="218"/>
      <c r="L17" s="219"/>
      <c r="M17" s="219">
        <v>16</v>
      </c>
      <c r="N17" s="219">
        <v>80</v>
      </c>
      <c r="O17" s="219">
        <v>80</v>
      </c>
      <c r="P17" s="220"/>
      <c r="Q17" s="221">
        <f t="shared" si="2"/>
        <v>6800</v>
      </c>
    </row>
    <row r="18" spans="1:17">
      <c r="A18" s="115"/>
      <c r="B18" s="222" t="s">
        <v>355</v>
      </c>
      <c r="C18" s="115">
        <v>3</v>
      </c>
      <c r="D18" s="115">
        <v>2</v>
      </c>
      <c r="E18" s="115">
        <v>2</v>
      </c>
      <c r="F18" s="115">
        <v>28</v>
      </c>
      <c r="G18" s="115">
        <v>26</v>
      </c>
      <c r="H18" s="116"/>
      <c r="I18" s="216">
        <f t="shared" si="1"/>
        <v>2265</v>
      </c>
      <c r="J18" s="217" t="s">
        <v>41</v>
      </c>
      <c r="K18" s="218"/>
      <c r="L18" s="219"/>
      <c r="M18" s="219">
        <v>6</v>
      </c>
      <c r="N18" s="219">
        <v>32</v>
      </c>
      <c r="O18" s="219">
        <v>40</v>
      </c>
      <c r="P18" s="220"/>
      <c r="Q18" s="221">
        <f t="shared" si="2"/>
        <v>2980</v>
      </c>
    </row>
    <row r="19" spans="1:17">
      <c r="A19" s="115"/>
      <c r="B19" s="222" t="s">
        <v>356</v>
      </c>
      <c r="C19" s="115">
        <v>3</v>
      </c>
      <c r="D19" s="115">
        <v>2</v>
      </c>
      <c r="E19" s="115">
        <v>2</v>
      </c>
      <c r="F19" s="115">
        <v>17</v>
      </c>
      <c r="G19" s="115">
        <v>18</v>
      </c>
      <c r="H19" s="116"/>
      <c r="I19" s="216">
        <f t="shared" si="1"/>
        <v>1545</v>
      </c>
      <c r="J19" s="217" t="s">
        <v>41</v>
      </c>
      <c r="K19" s="218"/>
      <c r="L19" s="219"/>
      <c r="M19" s="219">
        <v>4</v>
      </c>
      <c r="N19" s="219">
        <v>20</v>
      </c>
      <c r="O19" s="219">
        <v>16</v>
      </c>
      <c r="P19" s="220"/>
      <c r="Q19" s="221">
        <f t="shared" si="2"/>
        <v>1560</v>
      </c>
    </row>
    <row r="20" spans="1:17">
      <c r="A20" s="115"/>
      <c r="B20" s="222" t="s">
        <v>357</v>
      </c>
      <c r="C20" s="115">
        <v>3</v>
      </c>
      <c r="D20" s="115">
        <v>2</v>
      </c>
      <c r="E20" s="115">
        <v>2</v>
      </c>
      <c r="F20" s="115">
        <v>12</v>
      </c>
      <c r="G20" s="115">
        <v>12</v>
      </c>
      <c r="H20" s="116"/>
      <c r="I20" s="216">
        <f t="shared" si="1"/>
        <v>1135</v>
      </c>
      <c r="J20" s="217" t="s">
        <v>41</v>
      </c>
      <c r="K20" s="218"/>
      <c r="L20" s="219"/>
      <c r="M20" s="219">
        <v>3</v>
      </c>
      <c r="N20" s="219">
        <v>16</v>
      </c>
      <c r="O20" s="219">
        <v>16</v>
      </c>
      <c r="P20" s="220"/>
      <c r="Q20" s="221">
        <f t="shared" si="2"/>
        <v>1350</v>
      </c>
    </row>
    <row r="21" spans="1:17">
      <c r="A21" s="193"/>
      <c r="B21" s="223" t="s">
        <v>358</v>
      </c>
      <c r="C21" s="193">
        <v>3</v>
      </c>
      <c r="D21" s="193">
        <v>2</v>
      </c>
      <c r="E21" s="115">
        <v>2</v>
      </c>
      <c r="F21" s="193">
        <v>35</v>
      </c>
      <c r="G21" s="193">
        <v>15</v>
      </c>
      <c r="H21" s="224"/>
      <c r="I21" s="225">
        <f t="shared" si="1"/>
        <v>2160</v>
      </c>
      <c r="J21" s="217" t="s">
        <v>41</v>
      </c>
      <c r="K21" s="218"/>
      <c r="L21" s="219"/>
      <c r="M21" s="219">
        <v>6</v>
      </c>
      <c r="N21" s="219">
        <v>40</v>
      </c>
      <c r="O21" s="219">
        <v>26</v>
      </c>
      <c r="P21" s="220"/>
      <c r="Q21" s="221">
        <f t="shared" si="2"/>
        <v>2810</v>
      </c>
    </row>
    <row r="22" spans="1:17">
      <c r="A22" s="115">
        <v>2</v>
      </c>
      <c r="B22" s="226" t="s">
        <v>371</v>
      </c>
      <c r="C22" s="115">
        <v>3</v>
      </c>
      <c r="D22" s="115">
        <v>1</v>
      </c>
      <c r="E22" s="115">
        <v>1</v>
      </c>
      <c r="F22" s="116"/>
      <c r="G22" s="115">
        <v>4</v>
      </c>
      <c r="H22" s="116"/>
      <c r="I22" s="216">
        <f t="shared" si="1"/>
        <v>295</v>
      </c>
      <c r="J22" s="217" t="s">
        <v>41</v>
      </c>
      <c r="K22" s="218">
        <v>4</v>
      </c>
      <c r="L22" s="219">
        <v>1</v>
      </c>
      <c r="M22" s="219">
        <v>1</v>
      </c>
      <c r="N22" s="220"/>
      <c r="O22" s="220">
        <v>16</v>
      </c>
      <c r="P22" s="220"/>
      <c r="Q22" s="221">
        <f t="shared" si="2"/>
        <v>740</v>
      </c>
    </row>
    <row r="23" spans="1:17">
      <c r="A23" s="2">
        <v>3</v>
      </c>
      <c r="B23" s="2" t="s">
        <v>372</v>
      </c>
      <c r="C23" s="2"/>
      <c r="D23" s="4"/>
      <c r="E23" s="2"/>
      <c r="F23" s="2"/>
      <c r="G23" s="2"/>
      <c r="H23" s="4"/>
      <c r="I23" s="227">
        <f t="shared" si="1"/>
        <v>0</v>
      </c>
      <c r="J23" s="217"/>
      <c r="K23" s="218"/>
      <c r="L23" s="220"/>
      <c r="M23" s="219"/>
      <c r="N23" s="219"/>
      <c r="O23" s="219"/>
      <c r="P23" s="220"/>
      <c r="Q23" s="221">
        <f t="shared" si="2"/>
        <v>0</v>
      </c>
    </row>
    <row r="24" spans="1:17">
      <c r="A24" s="2"/>
      <c r="B24" s="228" t="s">
        <v>373</v>
      </c>
      <c r="C24" s="2"/>
      <c r="D24" s="2"/>
      <c r="E24" s="2"/>
      <c r="F24" s="2">
        <v>7</v>
      </c>
      <c r="G24" s="2"/>
      <c r="H24" s="4"/>
      <c r="I24" s="227">
        <f t="shared" si="1"/>
        <v>280</v>
      </c>
      <c r="J24" s="217" t="s">
        <v>41</v>
      </c>
      <c r="K24" s="218"/>
      <c r="L24" s="219"/>
      <c r="M24" s="219"/>
      <c r="N24" s="219">
        <v>4</v>
      </c>
      <c r="O24" s="219"/>
      <c r="P24" s="220"/>
      <c r="Q24" s="221">
        <f t="shared" si="2"/>
        <v>160</v>
      </c>
    </row>
    <row r="25" spans="1:17">
      <c r="A25" s="2"/>
      <c r="B25" s="228" t="s">
        <v>374</v>
      </c>
      <c r="C25" s="2">
        <v>30</v>
      </c>
      <c r="D25" s="2">
        <v>6</v>
      </c>
      <c r="E25" s="2"/>
      <c r="F25" s="2"/>
      <c r="G25" s="2"/>
      <c r="H25" s="4"/>
      <c r="I25" s="227">
        <f t="shared" si="1"/>
        <v>930</v>
      </c>
      <c r="J25" s="217" t="s">
        <v>41</v>
      </c>
      <c r="K25" s="218">
        <v>40</v>
      </c>
      <c r="L25" s="219">
        <v>8</v>
      </c>
      <c r="M25" s="219"/>
      <c r="N25" s="219"/>
      <c r="O25" s="219"/>
      <c r="P25" s="220"/>
      <c r="Q25" s="221">
        <f t="shared" si="2"/>
        <v>1240</v>
      </c>
    </row>
    <row r="26" spans="1:17">
      <c r="A26" s="200"/>
      <c r="B26" s="229" t="s">
        <v>375</v>
      </c>
      <c r="C26" s="104">
        <v>24</v>
      </c>
      <c r="D26" s="104">
        <v>2</v>
      </c>
      <c r="E26" s="104"/>
      <c r="F26" s="104"/>
      <c r="G26" s="104"/>
      <c r="H26" s="230"/>
      <c r="I26" s="231">
        <f t="shared" si="1"/>
        <v>660</v>
      </c>
      <c r="J26" s="217" t="s">
        <v>41</v>
      </c>
      <c r="K26" s="218">
        <v>16</v>
      </c>
      <c r="L26" s="219">
        <v>2</v>
      </c>
      <c r="M26" s="219"/>
      <c r="N26" s="219"/>
      <c r="O26" s="219"/>
      <c r="P26" s="220"/>
      <c r="Q26" s="221">
        <f t="shared" si="2"/>
        <v>460</v>
      </c>
    </row>
    <row r="27" spans="1:17">
      <c r="A27" s="2">
        <v>4</v>
      </c>
      <c r="B27" s="2" t="s">
        <v>376</v>
      </c>
      <c r="C27" s="2">
        <v>3</v>
      </c>
      <c r="D27" s="2"/>
      <c r="E27" s="2"/>
      <c r="F27" s="2"/>
      <c r="G27" s="2"/>
      <c r="H27" s="4"/>
      <c r="I27" s="227">
        <f t="shared" si="1"/>
        <v>75</v>
      </c>
      <c r="J27" s="217" t="s">
        <v>72</v>
      </c>
      <c r="K27" s="218">
        <v>4</v>
      </c>
      <c r="L27" s="219"/>
      <c r="M27" s="219">
        <v>4</v>
      </c>
      <c r="N27" s="219">
        <v>40</v>
      </c>
      <c r="O27" s="219"/>
      <c r="P27" s="220"/>
      <c r="Q27" s="221">
        <f t="shared" si="2"/>
        <v>1900</v>
      </c>
    </row>
    <row r="28" spans="1:17">
      <c r="A28" s="2">
        <v>5</v>
      </c>
      <c r="B28" s="2" t="s">
        <v>35</v>
      </c>
      <c r="C28" s="2"/>
      <c r="D28" s="2"/>
      <c r="E28" s="2"/>
      <c r="F28" s="2"/>
      <c r="G28" s="2"/>
      <c r="H28" s="4"/>
      <c r="I28" s="227">
        <f t="shared" si="1"/>
        <v>0</v>
      </c>
      <c r="J28" s="217" t="s">
        <v>41</v>
      </c>
      <c r="K28" s="218">
        <v>20</v>
      </c>
      <c r="L28" s="219"/>
      <c r="M28" s="219"/>
      <c r="N28" s="219"/>
      <c r="O28" s="219"/>
      <c r="P28" s="220"/>
      <c r="Q28" s="221">
        <f t="shared" si="2"/>
        <v>500</v>
      </c>
    </row>
    <row r="29" spans="1:17">
      <c r="A29" s="201">
        <v>6</v>
      </c>
      <c r="B29" s="201" t="s">
        <v>377</v>
      </c>
      <c r="C29" s="201">
        <v>4</v>
      </c>
      <c r="D29" s="201"/>
      <c r="E29" s="201">
        <v>1</v>
      </c>
      <c r="F29" s="201">
        <v>15</v>
      </c>
      <c r="G29" s="201">
        <v>6</v>
      </c>
      <c r="H29" s="202"/>
      <c r="I29" s="232">
        <f t="shared" si="1"/>
        <v>960</v>
      </c>
      <c r="J29" s="217" t="s">
        <v>41</v>
      </c>
      <c r="K29" s="218">
        <v>5</v>
      </c>
      <c r="L29" s="219"/>
      <c r="M29" s="219">
        <v>3</v>
      </c>
      <c r="N29" s="219">
        <v>24</v>
      </c>
      <c r="O29" s="219">
        <v>8</v>
      </c>
      <c r="P29" s="220"/>
      <c r="Q29" s="221">
        <f t="shared" si="2"/>
        <v>1515</v>
      </c>
    </row>
    <row r="30" spans="1:17">
      <c r="A30" s="115">
        <v>7</v>
      </c>
      <c r="B30" s="233" t="s">
        <v>378</v>
      </c>
      <c r="C30" s="234">
        <v>1</v>
      </c>
      <c r="D30" s="235"/>
      <c r="E30" s="234"/>
      <c r="F30" s="234">
        <v>1</v>
      </c>
      <c r="G30" s="234">
        <v>1</v>
      </c>
      <c r="H30" s="234"/>
      <c r="I30" s="216">
        <f t="shared" si="1"/>
        <v>100</v>
      </c>
      <c r="J30" s="217" t="s">
        <v>41</v>
      </c>
      <c r="K30" s="218">
        <v>1</v>
      </c>
      <c r="L30" s="220"/>
      <c r="M30" s="219"/>
      <c r="N30" s="219">
        <v>1</v>
      </c>
      <c r="O30" s="219">
        <v>1</v>
      </c>
      <c r="P30" s="219">
        <v>1</v>
      </c>
      <c r="Q30" s="221">
        <f t="shared" si="2"/>
        <v>125</v>
      </c>
    </row>
    <row r="31" spans="1:17">
      <c r="A31" s="193">
        <v>8</v>
      </c>
      <c r="B31" s="236" t="s">
        <v>379</v>
      </c>
      <c r="C31" s="237">
        <v>5</v>
      </c>
      <c r="D31" s="237">
        <v>5</v>
      </c>
      <c r="E31" s="237"/>
      <c r="F31" s="237"/>
      <c r="G31" s="237"/>
      <c r="H31" s="234"/>
      <c r="I31" s="216">
        <f t="shared" si="1"/>
        <v>275</v>
      </c>
      <c r="J31" s="217" t="s">
        <v>128</v>
      </c>
      <c r="K31" s="218">
        <v>70</v>
      </c>
      <c r="L31" s="219">
        <v>10</v>
      </c>
      <c r="M31" s="219"/>
      <c r="N31" s="219"/>
      <c r="O31" s="219"/>
      <c r="P31" s="219">
        <v>50</v>
      </c>
      <c r="Q31" s="221">
        <f t="shared" si="2"/>
        <v>3300</v>
      </c>
    </row>
    <row r="32" spans="1:17">
      <c r="A32" s="238">
        <v>9</v>
      </c>
      <c r="B32" s="238" t="s">
        <v>380</v>
      </c>
      <c r="C32" s="217">
        <v>2</v>
      </c>
      <c r="D32" s="217"/>
      <c r="E32" s="217"/>
      <c r="F32" s="239"/>
      <c r="G32" s="217">
        <v>1</v>
      </c>
      <c r="H32" s="240"/>
      <c r="I32" s="216">
        <f t="shared" si="1"/>
        <v>85</v>
      </c>
      <c r="J32" s="217" t="s">
        <v>41</v>
      </c>
      <c r="K32" s="218">
        <v>2</v>
      </c>
      <c r="L32" s="219"/>
      <c r="M32" s="219"/>
      <c r="N32" s="220"/>
      <c r="O32" s="219">
        <v>1</v>
      </c>
      <c r="P32" s="220"/>
      <c r="Q32" s="221">
        <f t="shared" si="2"/>
        <v>85</v>
      </c>
    </row>
    <row r="33" spans="1:17">
      <c r="A33" s="238">
        <v>10</v>
      </c>
      <c r="B33" s="238" t="s">
        <v>381</v>
      </c>
      <c r="C33" s="238">
        <v>3</v>
      </c>
      <c r="D33" s="238">
        <v>1</v>
      </c>
      <c r="E33" s="238"/>
      <c r="F33" s="238"/>
      <c r="G33" s="238"/>
      <c r="H33" s="241"/>
      <c r="I33" s="216">
        <f t="shared" si="1"/>
        <v>105</v>
      </c>
      <c r="J33" s="217" t="s">
        <v>72</v>
      </c>
      <c r="K33" s="218">
        <v>6</v>
      </c>
      <c r="L33" s="219"/>
      <c r="M33" s="219">
        <v>3</v>
      </c>
      <c r="N33" s="219">
        <v>26</v>
      </c>
      <c r="O33" s="219">
        <v>6</v>
      </c>
      <c r="P33" s="220"/>
      <c r="Q33" s="242">
        <f t="shared" si="2"/>
        <v>1550</v>
      </c>
    </row>
    <row r="34" spans="1:17">
      <c r="A34" s="238">
        <v>11</v>
      </c>
      <c r="B34" s="243" t="s">
        <v>360</v>
      </c>
      <c r="C34" s="238">
        <v>3</v>
      </c>
      <c r="D34" s="238">
        <v>1</v>
      </c>
      <c r="E34" s="238">
        <v>2</v>
      </c>
      <c r="F34" s="238">
        <v>25</v>
      </c>
      <c r="G34" s="244"/>
      <c r="H34" s="245"/>
      <c r="I34" s="246">
        <f t="shared" si="1"/>
        <v>1205</v>
      </c>
      <c r="J34" s="217" t="s">
        <v>41</v>
      </c>
      <c r="K34" s="218">
        <v>5</v>
      </c>
      <c r="L34" s="219"/>
      <c r="M34" s="219">
        <v>2</v>
      </c>
      <c r="N34" s="219">
        <v>25</v>
      </c>
      <c r="O34" s="220"/>
      <c r="P34" s="247"/>
      <c r="Q34" s="248">
        <f t="shared" si="2"/>
        <v>1225</v>
      </c>
    </row>
    <row r="35" spans="1:17">
      <c r="A35" s="6"/>
      <c r="B35" s="249"/>
      <c r="C35" s="6"/>
      <c r="D35" s="6"/>
      <c r="E35" s="6"/>
      <c r="F35" s="6"/>
      <c r="H35" s="250" t="s">
        <v>37</v>
      </c>
      <c r="I35" s="251">
        <f>SUM(I16:I34)</f>
        <v>15760</v>
      </c>
      <c r="J35" s="252"/>
      <c r="K35" s="253"/>
      <c r="L35" s="253"/>
      <c r="M35" s="253"/>
      <c r="N35" s="253"/>
      <c r="O35" s="254"/>
      <c r="P35" s="255" t="s">
        <v>38</v>
      </c>
      <c r="Q35" s="248">
        <f>SUM(Q16:Q34)</f>
        <v>28820</v>
      </c>
    </row>
    <row r="36" spans="1:17">
      <c r="A36" s="501" t="s">
        <v>343</v>
      </c>
      <c r="B36" s="485"/>
      <c r="C36" s="485"/>
      <c r="D36" s="485"/>
      <c r="E36" s="485"/>
      <c r="F36" s="485"/>
      <c r="G36" s="485"/>
      <c r="H36" s="485"/>
      <c r="I36" s="486"/>
      <c r="J36" s="209" t="s">
        <v>5</v>
      </c>
      <c r="K36" s="253"/>
      <c r="L36" s="253"/>
      <c r="M36" s="253"/>
      <c r="N36" s="253"/>
      <c r="O36" s="254"/>
      <c r="P36" s="254"/>
      <c r="Q36" s="256"/>
    </row>
    <row r="37" spans="1:17">
      <c r="A37" s="238">
        <v>12</v>
      </c>
      <c r="B37" s="257" t="s">
        <v>382</v>
      </c>
      <c r="C37" s="238">
        <v>2</v>
      </c>
      <c r="D37" s="244"/>
      <c r="E37" s="244"/>
      <c r="F37" s="238">
        <v>21.5</v>
      </c>
      <c r="G37" s="238">
        <v>2</v>
      </c>
      <c r="H37" s="244"/>
      <c r="I37" s="251">
        <f t="shared" ref="I37:I45" si="3">C37*25+D37*30+E37*50+F37*40+G37*35+H37*25</f>
        <v>980</v>
      </c>
      <c r="J37" s="217" t="s">
        <v>41</v>
      </c>
    </row>
    <row r="38" spans="1:17">
      <c r="A38" s="238">
        <v>13</v>
      </c>
      <c r="B38" s="238" t="s">
        <v>383</v>
      </c>
      <c r="C38" s="238">
        <v>2</v>
      </c>
      <c r="D38" s="244"/>
      <c r="E38" s="244"/>
      <c r="F38" s="238">
        <v>10</v>
      </c>
      <c r="G38" s="244"/>
      <c r="H38" s="244"/>
      <c r="I38" s="251">
        <f t="shared" si="3"/>
        <v>450</v>
      </c>
      <c r="J38" s="217" t="s">
        <v>41</v>
      </c>
    </row>
    <row r="39" spans="1:17">
      <c r="A39" s="238">
        <v>14</v>
      </c>
      <c r="B39" s="238" t="s">
        <v>384</v>
      </c>
      <c r="C39" s="238">
        <v>1</v>
      </c>
      <c r="D39" s="244"/>
      <c r="E39" s="244"/>
      <c r="F39" s="238">
        <v>14</v>
      </c>
      <c r="G39" s="244"/>
      <c r="H39" s="244"/>
      <c r="I39" s="251">
        <f t="shared" si="3"/>
        <v>585</v>
      </c>
      <c r="J39" s="217" t="s">
        <v>41</v>
      </c>
    </row>
    <row r="40" spans="1:17">
      <c r="A40" s="238">
        <v>16</v>
      </c>
      <c r="B40" s="257" t="s">
        <v>385</v>
      </c>
      <c r="C40" s="238">
        <v>1</v>
      </c>
      <c r="D40" s="244"/>
      <c r="E40" s="244"/>
      <c r="F40" s="238">
        <v>5</v>
      </c>
      <c r="G40" s="244"/>
      <c r="H40" s="244"/>
      <c r="I40" s="251">
        <f t="shared" si="3"/>
        <v>225</v>
      </c>
      <c r="J40" s="217" t="s">
        <v>41</v>
      </c>
    </row>
    <row r="41" spans="1:17">
      <c r="A41" s="238">
        <v>17</v>
      </c>
      <c r="B41" s="238" t="s">
        <v>386</v>
      </c>
      <c r="C41" s="238">
        <v>4</v>
      </c>
      <c r="D41" s="244"/>
      <c r="E41" s="244"/>
      <c r="F41" s="238">
        <v>12</v>
      </c>
      <c r="G41" s="244"/>
      <c r="H41" s="244"/>
      <c r="I41" s="251">
        <f t="shared" si="3"/>
        <v>580</v>
      </c>
      <c r="J41" s="217" t="s">
        <v>41</v>
      </c>
    </row>
    <row r="42" spans="1:17">
      <c r="A42" s="238">
        <v>18</v>
      </c>
      <c r="B42" s="238" t="s">
        <v>387</v>
      </c>
      <c r="C42" s="238">
        <v>4</v>
      </c>
      <c r="D42" s="244"/>
      <c r="E42" s="244"/>
      <c r="F42" s="238">
        <v>2</v>
      </c>
      <c r="G42" s="244"/>
      <c r="H42" s="244"/>
      <c r="I42" s="251">
        <f t="shared" si="3"/>
        <v>180</v>
      </c>
      <c r="J42" s="217" t="s">
        <v>41</v>
      </c>
    </row>
    <row r="43" spans="1:17">
      <c r="A43" s="258">
        <v>19</v>
      </c>
      <c r="B43" s="238" t="s">
        <v>388</v>
      </c>
      <c r="C43" s="238">
        <v>3</v>
      </c>
      <c r="D43" s="244"/>
      <c r="E43" s="238">
        <v>2</v>
      </c>
      <c r="F43" s="238">
        <v>35</v>
      </c>
      <c r="G43" s="244"/>
      <c r="H43" s="244"/>
      <c r="I43" s="251">
        <f t="shared" si="3"/>
        <v>1575</v>
      </c>
      <c r="J43" s="238" t="s">
        <v>389</v>
      </c>
    </row>
    <row r="44" spans="1:17">
      <c r="A44" s="238">
        <v>20</v>
      </c>
      <c r="B44" s="238" t="s">
        <v>390</v>
      </c>
      <c r="C44" s="238">
        <v>5</v>
      </c>
      <c r="D44" s="238">
        <v>1</v>
      </c>
      <c r="E44" s="244"/>
      <c r="F44" s="238"/>
      <c r="G44" s="238">
        <v>12</v>
      </c>
      <c r="H44" s="244"/>
      <c r="I44" s="251">
        <f t="shared" si="3"/>
        <v>575</v>
      </c>
      <c r="J44" s="217" t="s">
        <v>41</v>
      </c>
    </row>
    <row r="45" spans="1:17">
      <c r="A45" s="238">
        <v>21</v>
      </c>
      <c r="B45" s="238" t="s">
        <v>306</v>
      </c>
      <c r="C45" s="238">
        <v>24</v>
      </c>
      <c r="D45" s="238">
        <v>15</v>
      </c>
      <c r="E45" s="244"/>
      <c r="F45" s="238"/>
      <c r="G45" s="238"/>
      <c r="H45" s="244"/>
      <c r="I45" s="251">
        <f t="shared" si="3"/>
        <v>1050</v>
      </c>
      <c r="J45" s="217" t="s">
        <v>41</v>
      </c>
    </row>
    <row r="46" spans="1:17">
      <c r="G46" s="259"/>
      <c r="H46" s="250" t="s">
        <v>37</v>
      </c>
      <c r="I46" s="251">
        <f>SUM(I37:I45)</f>
        <v>6200</v>
      </c>
    </row>
    <row r="47" spans="1:17">
      <c r="G47" s="259"/>
      <c r="H47" s="250" t="s">
        <v>38</v>
      </c>
      <c r="I47" s="251">
        <f>I46+I35</f>
        <v>21960</v>
      </c>
    </row>
  </sheetData>
  <mergeCells count="5">
    <mergeCell ref="A12:D12"/>
    <mergeCell ref="A14:B14"/>
    <mergeCell ref="C14:I14"/>
    <mergeCell ref="K14:Q14"/>
    <mergeCell ref="A36:I36"/>
  </mergeCells>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AB50"/>
  <sheetViews>
    <sheetView workbookViewId="0"/>
  </sheetViews>
  <sheetFormatPr defaultColWidth="12.5703125" defaultRowHeight="15.75" customHeight="1"/>
  <cols>
    <col min="1" max="1" width="4.85546875" customWidth="1"/>
    <col min="2" max="2" width="50" customWidth="1"/>
    <col min="6" max="6" width="12" customWidth="1"/>
    <col min="12" max="12" width="12.7109375" customWidth="1"/>
  </cols>
  <sheetData>
    <row r="1" spans="1:28">
      <c r="A1" s="76" t="s">
        <v>11</v>
      </c>
      <c r="B1" s="76" t="s">
        <v>12</v>
      </c>
      <c r="C1" s="76" t="s">
        <v>3</v>
      </c>
      <c r="D1" s="76" t="s">
        <v>13</v>
      </c>
      <c r="E1" s="76" t="s">
        <v>4</v>
      </c>
    </row>
    <row r="2" spans="1:28">
      <c r="A2" s="2">
        <v>1</v>
      </c>
      <c r="B2" s="106" t="s">
        <v>14</v>
      </c>
      <c r="C2" s="15">
        <f>SUM(D16:D36)+SUM(D39:D48)</f>
        <v>40</v>
      </c>
      <c r="D2" s="15">
        <v>30</v>
      </c>
      <c r="E2" s="15">
        <f t="shared" ref="E2:E11" si="0">D2*C2</f>
        <v>1200</v>
      </c>
    </row>
    <row r="3" spans="1:28">
      <c r="A3" s="2">
        <v>2</v>
      </c>
      <c r="B3" s="106" t="s">
        <v>15</v>
      </c>
      <c r="C3" s="107">
        <v>101.5</v>
      </c>
      <c r="D3" s="107">
        <v>25</v>
      </c>
      <c r="E3" s="107">
        <f t="shared" si="0"/>
        <v>2537.5</v>
      </c>
    </row>
    <row r="4" spans="1:28">
      <c r="A4" s="2">
        <v>3</v>
      </c>
      <c r="B4" s="106" t="s">
        <v>16</v>
      </c>
      <c r="C4" s="107">
        <v>50</v>
      </c>
      <c r="D4" s="107">
        <v>25</v>
      </c>
      <c r="E4" s="107">
        <f t="shared" si="0"/>
        <v>1250</v>
      </c>
    </row>
    <row r="5" spans="1:28">
      <c r="A5" s="2">
        <v>4</v>
      </c>
      <c r="B5" s="108" t="s">
        <v>17</v>
      </c>
      <c r="C5" s="124">
        <v>24</v>
      </c>
      <c r="D5" s="19">
        <v>50</v>
      </c>
      <c r="E5" s="19">
        <f t="shared" si="0"/>
        <v>1200</v>
      </c>
    </row>
    <row r="6" spans="1:28">
      <c r="A6" s="2">
        <v>5</v>
      </c>
      <c r="B6" s="109" t="s">
        <v>18</v>
      </c>
      <c r="C6" s="110">
        <v>228.5</v>
      </c>
      <c r="D6" s="21">
        <v>40</v>
      </c>
      <c r="E6" s="21">
        <f t="shared" si="0"/>
        <v>9140</v>
      </c>
    </row>
    <row r="7" spans="1:28">
      <c r="A7" s="2">
        <v>6</v>
      </c>
      <c r="B7" s="109" t="s">
        <v>19</v>
      </c>
      <c r="C7" s="110">
        <v>200</v>
      </c>
      <c r="D7" s="110">
        <v>40</v>
      </c>
      <c r="E7" s="110">
        <f t="shared" si="0"/>
        <v>8000</v>
      </c>
    </row>
    <row r="8" spans="1:28">
      <c r="A8" s="2">
        <v>7</v>
      </c>
      <c r="B8" s="109" t="s">
        <v>350</v>
      </c>
      <c r="C8" s="110">
        <v>45</v>
      </c>
      <c r="D8" s="110">
        <v>40</v>
      </c>
      <c r="E8" s="110">
        <f t="shared" si="0"/>
        <v>1800</v>
      </c>
    </row>
    <row r="9" spans="1:28">
      <c r="A9" s="2">
        <v>8</v>
      </c>
      <c r="B9" s="111" t="s">
        <v>20</v>
      </c>
      <c r="C9" s="125">
        <v>21.5</v>
      </c>
      <c r="D9" s="24">
        <v>35</v>
      </c>
      <c r="E9" s="24">
        <f t="shared" si="0"/>
        <v>752.5</v>
      </c>
    </row>
    <row r="10" spans="1:28">
      <c r="A10" s="2">
        <v>9</v>
      </c>
      <c r="B10" s="111" t="s">
        <v>20</v>
      </c>
      <c r="C10" s="24"/>
      <c r="D10" s="24">
        <v>35</v>
      </c>
      <c r="E10" s="24">
        <f t="shared" si="0"/>
        <v>0</v>
      </c>
    </row>
    <row r="11" spans="1:28">
      <c r="A11" s="2">
        <v>10</v>
      </c>
      <c r="B11" s="111" t="s">
        <v>21</v>
      </c>
      <c r="C11" s="125">
        <v>11.5</v>
      </c>
      <c r="D11" s="26">
        <v>25</v>
      </c>
      <c r="E11" s="24">
        <f t="shared" si="0"/>
        <v>287.5</v>
      </c>
    </row>
    <row r="12" spans="1:28">
      <c r="A12" s="495"/>
      <c r="B12" s="475"/>
      <c r="C12" s="475"/>
      <c r="D12" s="476"/>
      <c r="E12" s="27">
        <f>SUM(E2:E11)</f>
        <v>26167.5</v>
      </c>
    </row>
    <row r="14" spans="1:28">
      <c r="A14" s="502"/>
      <c r="B14" s="503"/>
      <c r="C14" s="504" t="s">
        <v>22</v>
      </c>
      <c r="D14" s="505"/>
      <c r="E14" s="505"/>
      <c r="F14" s="505"/>
      <c r="G14" s="505"/>
      <c r="H14" s="505"/>
      <c r="I14" s="503"/>
      <c r="J14" s="209" t="s">
        <v>5</v>
      </c>
      <c r="K14" s="506" t="s">
        <v>23</v>
      </c>
      <c r="L14" s="505"/>
      <c r="M14" s="505"/>
      <c r="N14" s="505"/>
      <c r="O14" s="505"/>
      <c r="P14" s="505"/>
      <c r="Q14" s="503"/>
    </row>
    <row r="15" spans="1:28">
      <c r="A15" s="260" t="s">
        <v>11</v>
      </c>
      <c r="B15" s="260" t="s">
        <v>0</v>
      </c>
      <c r="C15" s="260" t="s">
        <v>24</v>
      </c>
      <c r="D15" s="260" t="s">
        <v>25</v>
      </c>
      <c r="E15" s="260" t="s">
        <v>26</v>
      </c>
      <c r="F15" s="260" t="s">
        <v>27</v>
      </c>
      <c r="G15" s="260" t="s">
        <v>28</v>
      </c>
      <c r="H15" s="260" t="s">
        <v>21</v>
      </c>
      <c r="I15" s="261" t="s">
        <v>30</v>
      </c>
      <c r="J15" s="211"/>
      <c r="K15" s="262" t="s">
        <v>24</v>
      </c>
      <c r="L15" s="263" t="s">
        <v>25</v>
      </c>
      <c r="M15" s="263" t="s">
        <v>26</v>
      </c>
      <c r="N15" s="263" t="s">
        <v>27</v>
      </c>
      <c r="O15" s="263" t="s">
        <v>28</v>
      </c>
      <c r="P15" s="263" t="s">
        <v>21</v>
      </c>
      <c r="Q15" s="264" t="s">
        <v>30</v>
      </c>
      <c r="R15" s="114"/>
      <c r="S15" s="114"/>
      <c r="T15" s="114"/>
      <c r="U15" s="114"/>
      <c r="V15" s="114"/>
      <c r="W15" s="114"/>
      <c r="X15" s="114"/>
      <c r="Y15" s="114"/>
      <c r="Z15" s="114"/>
      <c r="AA15" s="114"/>
      <c r="AB15" s="114"/>
    </row>
    <row r="16" spans="1:28">
      <c r="A16" s="238">
        <v>1</v>
      </c>
      <c r="B16" s="250" t="s">
        <v>352</v>
      </c>
      <c r="C16" s="238"/>
      <c r="D16" s="238"/>
      <c r="E16" s="238"/>
      <c r="F16" s="238"/>
      <c r="G16" s="238"/>
      <c r="H16" s="244"/>
      <c r="I16" s="251">
        <f t="shared" ref="I16:I36" si="1">C16*25+D16*30+E16*50+F16*40+G16*35+H16*25</f>
        <v>0</v>
      </c>
      <c r="J16" s="217"/>
      <c r="K16" s="265"/>
      <c r="L16" s="266"/>
      <c r="M16" s="266"/>
      <c r="N16" s="266"/>
      <c r="O16" s="266"/>
      <c r="P16" s="267"/>
      <c r="Q16" s="248">
        <f t="shared" ref="Q16:Q36" si="2">K16*25+L16*30+M16*50+N16*40+O16*35+P16*25</f>
        <v>0</v>
      </c>
    </row>
    <row r="17" spans="1:17">
      <c r="A17" s="238"/>
      <c r="B17" s="268" t="s">
        <v>391</v>
      </c>
      <c r="C17" s="238"/>
      <c r="D17" s="238"/>
      <c r="E17" s="238"/>
      <c r="F17" s="238"/>
      <c r="G17" s="238">
        <v>1</v>
      </c>
      <c r="H17" s="244"/>
      <c r="I17" s="251">
        <f t="shared" si="1"/>
        <v>35</v>
      </c>
      <c r="J17" s="217" t="s">
        <v>41</v>
      </c>
      <c r="K17" s="265">
        <v>1</v>
      </c>
      <c r="L17" s="266"/>
      <c r="M17" s="266"/>
      <c r="N17" s="266"/>
      <c r="O17" s="266">
        <v>1</v>
      </c>
      <c r="P17" s="267"/>
      <c r="Q17" s="248">
        <f t="shared" si="2"/>
        <v>60</v>
      </c>
    </row>
    <row r="18" spans="1:17">
      <c r="A18" s="238">
        <v>2</v>
      </c>
      <c r="B18" s="238" t="s">
        <v>392</v>
      </c>
      <c r="C18" s="238">
        <v>2</v>
      </c>
      <c r="D18" s="238"/>
      <c r="E18" s="238"/>
      <c r="F18" s="238">
        <v>2</v>
      </c>
      <c r="G18" s="238"/>
      <c r="H18" s="244"/>
      <c r="I18" s="251">
        <f t="shared" si="1"/>
        <v>130</v>
      </c>
      <c r="J18" s="217" t="s">
        <v>41</v>
      </c>
      <c r="K18" s="265">
        <v>2</v>
      </c>
      <c r="L18" s="266"/>
      <c r="M18" s="266"/>
      <c r="N18" s="266"/>
      <c r="O18" s="266">
        <v>3</v>
      </c>
      <c r="P18" s="267"/>
      <c r="Q18" s="248">
        <f t="shared" si="2"/>
        <v>155</v>
      </c>
    </row>
    <row r="19" spans="1:17">
      <c r="A19" s="238">
        <v>3</v>
      </c>
      <c r="B19" s="238" t="s">
        <v>388</v>
      </c>
      <c r="C19" s="238">
        <v>7</v>
      </c>
      <c r="D19" s="238">
        <v>2</v>
      </c>
      <c r="E19" s="238">
        <v>2</v>
      </c>
      <c r="F19" s="238">
        <v>15</v>
      </c>
      <c r="G19" s="238"/>
      <c r="H19" s="244"/>
      <c r="I19" s="251">
        <f t="shared" si="1"/>
        <v>935</v>
      </c>
      <c r="J19" s="217" t="s">
        <v>41</v>
      </c>
      <c r="K19" s="265">
        <v>16</v>
      </c>
      <c r="L19" s="266">
        <v>2</v>
      </c>
      <c r="M19" s="266">
        <v>6</v>
      </c>
      <c r="N19" s="266">
        <v>54</v>
      </c>
      <c r="O19" s="266"/>
      <c r="P19" s="267"/>
      <c r="Q19" s="248">
        <f t="shared" si="2"/>
        <v>2920</v>
      </c>
    </row>
    <row r="20" spans="1:17">
      <c r="A20" s="238">
        <v>4</v>
      </c>
      <c r="B20" s="238" t="s">
        <v>393</v>
      </c>
      <c r="C20" s="238">
        <v>0.5</v>
      </c>
      <c r="D20" s="238"/>
      <c r="E20" s="238"/>
      <c r="F20" s="238"/>
      <c r="G20" s="238">
        <v>0.5</v>
      </c>
      <c r="H20" s="244"/>
      <c r="I20" s="251">
        <f t="shared" si="1"/>
        <v>30</v>
      </c>
      <c r="J20" s="217" t="s">
        <v>41</v>
      </c>
      <c r="K20" s="265">
        <v>1</v>
      </c>
      <c r="L20" s="266"/>
      <c r="M20" s="266"/>
      <c r="N20" s="266">
        <v>1</v>
      </c>
      <c r="O20" s="266"/>
      <c r="P20" s="267"/>
      <c r="Q20" s="248">
        <f t="shared" si="2"/>
        <v>65</v>
      </c>
    </row>
    <row r="21" spans="1:17">
      <c r="A21" s="238">
        <v>5</v>
      </c>
      <c r="B21" s="238" t="s">
        <v>394</v>
      </c>
      <c r="C21" s="238">
        <v>3</v>
      </c>
      <c r="D21" s="238"/>
      <c r="E21" s="238">
        <v>1</v>
      </c>
      <c r="F21" s="238">
        <v>15</v>
      </c>
      <c r="G21" s="238"/>
      <c r="H21" s="244"/>
      <c r="I21" s="251">
        <f t="shared" si="1"/>
        <v>725</v>
      </c>
      <c r="J21" s="217" t="s">
        <v>41</v>
      </c>
      <c r="K21" s="265">
        <v>2</v>
      </c>
      <c r="L21" s="266"/>
      <c r="M21" s="266">
        <v>1</v>
      </c>
      <c r="N21" s="266">
        <v>12</v>
      </c>
      <c r="O21" s="266"/>
      <c r="P21" s="267"/>
      <c r="Q21" s="248">
        <f t="shared" si="2"/>
        <v>580</v>
      </c>
    </row>
    <row r="22" spans="1:17">
      <c r="A22" s="238">
        <v>6</v>
      </c>
      <c r="B22" s="243" t="s">
        <v>395</v>
      </c>
      <c r="C22" s="238">
        <v>3</v>
      </c>
      <c r="D22" s="238"/>
      <c r="E22" s="238">
        <v>1</v>
      </c>
      <c r="F22" s="238">
        <v>52</v>
      </c>
      <c r="G22" s="244"/>
      <c r="H22" s="244"/>
      <c r="I22" s="251">
        <f t="shared" si="1"/>
        <v>2205</v>
      </c>
      <c r="J22" s="217" t="s">
        <v>41</v>
      </c>
      <c r="K22" s="265">
        <v>10</v>
      </c>
      <c r="L22" s="266">
        <v>3</v>
      </c>
      <c r="M22" s="266">
        <v>5</v>
      </c>
      <c r="N22" s="266">
        <v>44</v>
      </c>
      <c r="O22" s="267"/>
      <c r="P22" s="267"/>
      <c r="Q22" s="248">
        <f t="shared" si="2"/>
        <v>2350</v>
      </c>
    </row>
    <row r="23" spans="1:17">
      <c r="A23" s="238">
        <v>7</v>
      </c>
      <c r="B23" s="238" t="s">
        <v>396</v>
      </c>
      <c r="C23" s="238">
        <v>8</v>
      </c>
      <c r="D23" s="244"/>
      <c r="E23" s="238"/>
      <c r="F23" s="238">
        <v>38</v>
      </c>
      <c r="G23" s="238"/>
      <c r="H23" s="244"/>
      <c r="I23" s="251">
        <f t="shared" si="1"/>
        <v>1720</v>
      </c>
      <c r="J23" s="217" t="s">
        <v>41</v>
      </c>
      <c r="K23" s="265"/>
      <c r="L23" s="267"/>
      <c r="M23" s="266"/>
      <c r="N23" s="266"/>
      <c r="O23" s="266"/>
      <c r="P23" s="267"/>
      <c r="Q23" s="269">
        <f t="shared" si="2"/>
        <v>0</v>
      </c>
    </row>
    <row r="24" spans="1:17">
      <c r="A24" s="238">
        <v>8</v>
      </c>
      <c r="B24" s="238" t="s">
        <v>397</v>
      </c>
      <c r="C24" s="238">
        <v>4</v>
      </c>
      <c r="D24" s="238"/>
      <c r="E24" s="238">
        <v>1</v>
      </c>
      <c r="F24" s="238">
        <v>50</v>
      </c>
      <c r="G24" s="238"/>
      <c r="H24" s="244"/>
      <c r="I24" s="251">
        <f t="shared" si="1"/>
        <v>2150</v>
      </c>
      <c r="J24" s="217" t="s">
        <v>41</v>
      </c>
      <c r="K24" s="265">
        <v>9</v>
      </c>
      <c r="L24" s="266">
        <v>2</v>
      </c>
      <c r="M24" s="266">
        <v>5</v>
      </c>
      <c r="N24" s="266">
        <v>44</v>
      </c>
      <c r="O24" s="266"/>
      <c r="P24" s="267"/>
      <c r="Q24" s="248">
        <f t="shared" si="2"/>
        <v>2295</v>
      </c>
    </row>
    <row r="25" spans="1:17">
      <c r="A25" s="238">
        <v>9</v>
      </c>
      <c r="B25" s="238" t="s">
        <v>398</v>
      </c>
      <c r="C25" s="238">
        <v>4</v>
      </c>
      <c r="D25" s="238"/>
      <c r="E25" s="238"/>
      <c r="F25" s="238">
        <v>19</v>
      </c>
      <c r="G25" s="238">
        <v>8</v>
      </c>
      <c r="H25" s="238">
        <v>1</v>
      </c>
      <c r="I25" s="251">
        <f t="shared" si="1"/>
        <v>1165</v>
      </c>
      <c r="J25" s="217" t="s">
        <v>41</v>
      </c>
      <c r="K25" s="265">
        <v>6</v>
      </c>
      <c r="L25" s="266">
        <v>2</v>
      </c>
      <c r="M25" s="266">
        <v>2</v>
      </c>
      <c r="N25" s="266">
        <v>12</v>
      </c>
      <c r="O25" s="266">
        <v>8</v>
      </c>
      <c r="P25" s="267"/>
      <c r="Q25" s="248">
        <f t="shared" si="2"/>
        <v>1070</v>
      </c>
    </row>
    <row r="26" spans="1:17">
      <c r="A26" s="238">
        <v>10</v>
      </c>
      <c r="B26" s="238" t="s">
        <v>399</v>
      </c>
      <c r="C26" s="238"/>
      <c r="D26" s="217"/>
      <c r="E26" s="238"/>
      <c r="F26" s="217"/>
      <c r="G26" s="217"/>
      <c r="H26" s="239"/>
      <c r="I26" s="270">
        <f t="shared" si="1"/>
        <v>0</v>
      </c>
      <c r="J26" s="217" t="s">
        <v>72</v>
      </c>
      <c r="K26" s="265"/>
      <c r="L26" s="266"/>
      <c r="M26" s="266"/>
      <c r="N26" s="266"/>
      <c r="O26" s="266"/>
      <c r="P26" s="267"/>
      <c r="Q26" s="248">
        <f t="shared" si="2"/>
        <v>0</v>
      </c>
    </row>
    <row r="27" spans="1:17">
      <c r="A27" s="238">
        <v>11</v>
      </c>
      <c r="B27" s="238" t="s">
        <v>400</v>
      </c>
      <c r="C27" s="238">
        <v>1</v>
      </c>
      <c r="D27" s="238"/>
      <c r="E27" s="238"/>
      <c r="F27" s="238"/>
      <c r="G27" s="238">
        <v>2</v>
      </c>
      <c r="H27" s="244"/>
      <c r="I27" s="251">
        <f t="shared" si="1"/>
        <v>95</v>
      </c>
      <c r="J27" s="217" t="s">
        <v>41</v>
      </c>
      <c r="K27" s="265">
        <v>2</v>
      </c>
      <c r="L27" s="266"/>
      <c r="M27" s="266"/>
      <c r="N27" s="266"/>
      <c r="O27" s="266">
        <v>4</v>
      </c>
      <c r="P27" s="267"/>
      <c r="Q27" s="248">
        <f t="shared" si="2"/>
        <v>190</v>
      </c>
    </row>
    <row r="28" spans="1:17">
      <c r="A28" s="238">
        <v>12</v>
      </c>
      <c r="B28" s="238" t="s">
        <v>401</v>
      </c>
      <c r="C28" s="238">
        <v>6</v>
      </c>
      <c r="D28" s="238">
        <v>1</v>
      </c>
      <c r="E28" s="238">
        <v>1</v>
      </c>
      <c r="F28" s="238">
        <v>22</v>
      </c>
      <c r="G28" s="238">
        <v>4</v>
      </c>
      <c r="H28" s="244"/>
      <c r="I28" s="251">
        <f t="shared" si="1"/>
        <v>1250</v>
      </c>
      <c r="J28" s="217" t="s">
        <v>41</v>
      </c>
      <c r="K28" s="265">
        <v>6</v>
      </c>
      <c r="L28" s="266">
        <v>1</v>
      </c>
      <c r="M28" s="266">
        <v>3</v>
      </c>
      <c r="N28" s="266">
        <v>24</v>
      </c>
      <c r="O28" s="266">
        <v>6</v>
      </c>
      <c r="P28" s="267"/>
      <c r="Q28" s="248">
        <f t="shared" si="2"/>
        <v>1500</v>
      </c>
    </row>
    <row r="29" spans="1:17">
      <c r="A29" s="238">
        <v>13</v>
      </c>
      <c r="B29" s="238" t="s">
        <v>402</v>
      </c>
      <c r="C29" s="238">
        <v>4</v>
      </c>
      <c r="D29" s="238"/>
      <c r="E29" s="238"/>
      <c r="F29" s="238">
        <v>3</v>
      </c>
      <c r="G29" s="238">
        <v>1</v>
      </c>
      <c r="H29" s="244"/>
      <c r="I29" s="251">
        <f t="shared" si="1"/>
        <v>255</v>
      </c>
      <c r="J29" s="217" t="s">
        <v>41</v>
      </c>
      <c r="K29" s="265">
        <v>4</v>
      </c>
      <c r="L29" s="266">
        <v>1</v>
      </c>
      <c r="M29" s="266">
        <v>1</v>
      </c>
      <c r="N29" s="266">
        <v>6</v>
      </c>
      <c r="O29" s="266">
        <v>2</v>
      </c>
      <c r="P29" s="267"/>
      <c r="Q29" s="248">
        <f t="shared" si="2"/>
        <v>490</v>
      </c>
    </row>
    <row r="30" spans="1:17">
      <c r="A30" s="238">
        <v>14</v>
      </c>
      <c r="B30" s="271" t="s">
        <v>403</v>
      </c>
      <c r="C30" s="238">
        <v>1</v>
      </c>
      <c r="D30" s="217"/>
      <c r="E30" s="238"/>
      <c r="F30" s="217"/>
      <c r="G30" s="217">
        <v>2</v>
      </c>
      <c r="H30" s="217"/>
      <c r="I30" s="251">
        <f t="shared" si="1"/>
        <v>95</v>
      </c>
      <c r="J30" s="217" t="s">
        <v>41</v>
      </c>
      <c r="K30" s="265">
        <v>2</v>
      </c>
      <c r="L30" s="266">
        <v>1</v>
      </c>
      <c r="M30" s="266"/>
      <c r="N30" s="266"/>
      <c r="O30" s="266">
        <v>1</v>
      </c>
      <c r="P30" s="266"/>
      <c r="Q30" s="248">
        <f t="shared" si="2"/>
        <v>115</v>
      </c>
    </row>
    <row r="31" spans="1:17">
      <c r="A31" s="238">
        <v>15</v>
      </c>
      <c r="B31" s="271" t="s">
        <v>404</v>
      </c>
      <c r="C31" s="238">
        <v>1</v>
      </c>
      <c r="D31" s="217"/>
      <c r="E31" s="238"/>
      <c r="F31" s="217">
        <v>7</v>
      </c>
      <c r="G31" s="217">
        <v>1</v>
      </c>
      <c r="H31" s="217"/>
      <c r="I31" s="251">
        <f t="shared" si="1"/>
        <v>340</v>
      </c>
      <c r="J31" s="217" t="s">
        <v>41</v>
      </c>
      <c r="K31" s="265">
        <v>1</v>
      </c>
      <c r="L31" s="266"/>
      <c r="M31" s="266">
        <v>1</v>
      </c>
      <c r="N31" s="266">
        <v>6</v>
      </c>
      <c r="O31" s="266">
        <v>2</v>
      </c>
      <c r="P31" s="266"/>
      <c r="Q31" s="248">
        <f t="shared" si="2"/>
        <v>385</v>
      </c>
    </row>
    <row r="32" spans="1:17">
      <c r="A32" s="238">
        <v>16</v>
      </c>
      <c r="B32" s="238" t="s">
        <v>376</v>
      </c>
      <c r="C32" s="238">
        <v>23</v>
      </c>
      <c r="D32" s="217"/>
      <c r="E32" s="238">
        <v>1</v>
      </c>
      <c r="F32" s="217">
        <v>15</v>
      </c>
      <c r="G32" s="217"/>
      <c r="H32" s="239"/>
      <c r="I32" s="251">
        <f t="shared" si="1"/>
        <v>1225</v>
      </c>
      <c r="J32" s="217" t="s">
        <v>41</v>
      </c>
      <c r="K32" s="265"/>
      <c r="L32" s="266"/>
      <c r="M32" s="266"/>
      <c r="N32" s="267"/>
      <c r="O32" s="266"/>
      <c r="P32" s="267"/>
      <c r="Q32" s="269">
        <f t="shared" si="2"/>
        <v>0</v>
      </c>
    </row>
    <row r="33" spans="1:17">
      <c r="A33" s="238">
        <v>17</v>
      </c>
      <c r="B33" s="238" t="s">
        <v>381</v>
      </c>
      <c r="C33" s="238">
        <v>8</v>
      </c>
      <c r="D33" s="238">
        <v>1</v>
      </c>
      <c r="E33" s="238">
        <v>2</v>
      </c>
      <c r="F33" s="238">
        <v>34</v>
      </c>
      <c r="G33" s="238">
        <v>1</v>
      </c>
      <c r="H33" s="244"/>
      <c r="I33" s="251">
        <f t="shared" si="1"/>
        <v>1725</v>
      </c>
      <c r="J33" s="217" t="s">
        <v>41</v>
      </c>
      <c r="K33" s="265">
        <v>6</v>
      </c>
      <c r="L33" s="266"/>
      <c r="M33" s="266">
        <v>3</v>
      </c>
      <c r="N33" s="266">
        <v>26</v>
      </c>
      <c r="O33" s="266">
        <v>6</v>
      </c>
      <c r="P33" s="267"/>
      <c r="Q33" s="248">
        <f t="shared" si="2"/>
        <v>1550</v>
      </c>
    </row>
    <row r="34" spans="1:17">
      <c r="A34" s="272">
        <v>18</v>
      </c>
      <c r="B34" s="273" t="s">
        <v>405</v>
      </c>
      <c r="C34" s="274">
        <v>10</v>
      </c>
      <c r="D34" s="275">
        <v>2</v>
      </c>
      <c r="E34" s="274">
        <v>2</v>
      </c>
      <c r="F34" s="274">
        <v>45</v>
      </c>
      <c r="G34" s="276"/>
      <c r="H34" s="276"/>
      <c r="I34" s="251">
        <f t="shared" si="1"/>
        <v>2210</v>
      </c>
      <c r="J34" s="217" t="s">
        <v>41</v>
      </c>
      <c r="K34" s="277">
        <v>12</v>
      </c>
      <c r="L34" s="278"/>
      <c r="M34" s="279">
        <v>8</v>
      </c>
      <c r="N34" s="279">
        <v>75</v>
      </c>
      <c r="O34" s="278"/>
      <c r="P34" s="278"/>
      <c r="Q34" s="248">
        <f t="shared" si="2"/>
        <v>3700</v>
      </c>
    </row>
    <row r="35" spans="1:17">
      <c r="A35" s="238">
        <v>19</v>
      </c>
      <c r="B35" s="243" t="s">
        <v>406</v>
      </c>
      <c r="C35" s="238"/>
      <c r="D35" s="238">
        <v>5</v>
      </c>
      <c r="E35" s="238">
        <v>9</v>
      </c>
      <c r="F35" s="238">
        <v>40</v>
      </c>
      <c r="G35" s="244"/>
      <c r="H35" s="244"/>
      <c r="I35" s="251">
        <f t="shared" si="1"/>
        <v>2200</v>
      </c>
      <c r="J35" s="217" t="s">
        <v>41</v>
      </c>
      <c r="K35" s="265"/>
      <c r="L35" s="266">
        <v>5</v>
      </c>
      <c r="M35" s="266">
        <v>5</v>
      </c>
      <c r="N35" s="266">
        <v>20</v>
      </c>
      <c r="O35" s="267"/>
      <c r="P35" s="267"/>
      <c r="Q35" s="269">
        <f t="shared" si="2"/>
        <v>1200</v>
      </c>
    </row>
    <row r="36" spans="1:17">
      <c r="A36" s="238">
        <v>20</v>
      </c>
      <c r="B36" s="238" t="s">
        <v>306</v>
      </c>
      <c r="C36" s="238">
        <v>32</v>
      </c>
      <c r="D36" s="238">
        <v>24</v>
      </c>
      <c r="E36" s="238"/>
      <c r="F36" s="238"/>
      <c r="G36" s="244"/>
      <c r="H36" s="244"/>
      <c r="I36" s="251">
        <f t="shared" si="1"/>
        <v>1520</v>
      </c>
      <c r="J36" s="217" t="s">
        <v>41</v>
      </c>
      <c r="K36" s="265">
        <v>40</v>
      </c>
      <c r="L36" s="266">
        <v>40</v>
      </c>
      <c r="M36" s="266"/>
      <c r="N36" s="266"/>
      <c r="O36" s="267"/>
      <c r="P36" s="267"/>
      <c r="Q36" s="248">
        <f t="shared" si="2"/>
        <v>2200</v>
      </c>
    </row>
    <row r="37" spans="1:17">
      <c r="A37" s="502"/>
      <c r="B37" s="505"/>
      <c r="C37" s="505"/>
      <c r="D37" s="505"/>
      <c r="E37" s="505"/>
      <c r="F37" s="505"/>
      <c r="G37" s="503"/>
      <c r="H37" s="250" t="s">
        <v>37</v>
      </c>
      <c r="I37" s="251">
        <f>SUM(I16:I36)</f>
        <v>20010</v>
      </c>
      <c r="J37" s="239"/>
      <c r="P37" s="280" t="s">
        <v>38</v>
      </c>
      <c r="Q37" s="248">
        <f>SUM(Q16:Q36)</f>
        <v>20825</v>
      </c>
    </row>
    <row r="38" spans="1:17">
      <c r="A38" s="507" t="s">
        <v>343</v>
      </c>
      <c r="B38" s="505"/>
      <c r="C38" s="505"/>
      <c r="D38" s="505"/>
      <c r="E38" s="505"/>
      <c r="F38" s="505"/>
      <c r="G38" s="505"/>
      <c r="H38" s="505"/>
      <c r="I38" s="503"/>
      <c r="J38" s="209" t="s">
        <v>5</v>
      </c>
    </row>
    <row r="39" spans="1:17">
      <c r="A39" s="238">
        <v>21</v>
      </c>
      <c r="B39" s="257" t="s">
        <v>407</v>
      </c>
      <c r="C39" s="238">
        <v>2</v>
      </c>
      <c r="D39" s="244"/>
      <c r="E39" s="238">
        <v>2</v>
      </c>
      <c r="F39" s="238">
        <v>38</v>
      </c>
      <c r="G39" s="238"/>
      <c r="H39" s="244"/>
      <c r="I39" s="251">
        <f t="shared" ref="I39:I48" si="3">C39*25+D39*30+E39*50+F39*40+G39*35+H39*25</f>
        <v>1670</v>
      </c>
      <c r="J39" s="217" t="s">
        <v>41</v>
      </c>
    </row>
    <row r="40" spans="1:17">
      <c r="A40" s="238">
        <v>22</v>
      </c>
      <c r="B40" s="236" t="s">
        <v>379</v>
      </c>
      <c r="C40" s="238">
        <v>15</v>
      </c>
      <c r="D40" s="238">
        <v>5</v>
      </c>
      <c r="E40" s="244"/>
      <c r="F40" s="238"/>
      <c r="G40" s="238"/>
      <c r="H40" s="238">
        <v>10.5</v>
      </c>
      <c r="I40" s="251">
        <f t="shared" si="3"/>
        <v>787.5</v>
      </c>
      <c r="J40" s="217" t="s">
        <v>408</v>
      </c>
    </row>
    <row r="41" spans="1:17">
      <c r="A41" s="238">
        <v>23</v>
      </c>
      <c r="B41" s="257" t="s">
        <v>409</v>
      </c>
      <c r="C41" s="238">
        <v>4</v>
      </c>
      <c r="D41" s="244"/>
      <c r="E41" s="244"/>
      <c r="F41" s="238">
        <v>9</v>
      </c>
      <c r="G41" s="238">
        <v>1</v>
      </c>
      <c r="H41" s="244"/>
      <c r="I41" s="251">
        <f t="shared" si="3"/>
        <v>495</v>
      </c>
      <c r="J41" s="217" t="s">
        <v>41</v>
      </c>
    </row>
    <row r="42" spans="1:17">
      <c r="A42" s="238">
        <v>24</v>
      </c>
      <c r="B42" s="238" t="s">
        <v>410</v>
      </c>
      <c r="C42" s="238">
        <v>4</v>
      </c>
      <c r="D42" s="244"/>
      <c r="E42" s="238">
        <v>1</v>
      </c>
      <c r="F42" s="238">
        <v>19.5</v>
      </c>
      <c r="G42" s="244"/>
      <c r="H42" s="244"/>
      <c r="I42" s="251">
        <f t="shared" si="3"/>
        <v>930</v>
      </c>
      <c r="J42" s="217" t="s">
        <v>41</v>
      </c>
    </row>
    <row r="43" spans="1:17">
      <c r="A43" s="238">
        <v>25</v>
      </c>
      <c r="B43" s="238" t="s">
        <v>411</v>
      </c>
      <c r="C43" s="238">
        <v>1</v>
      </c>
      <c r="D43" s="244"/>
      <c r="E43" s="244"/>
      <c r="F43" s="238">
        <v>6</v>
      </c>
      <c r="G43" s="244"/>
      <c r="H43" s="244"/>
      <c r="I43" s="251">
        <f t="shared" si="3"/>
        <v>265</v>
      </c>
      <c r="J43" s="217" t="s">
        <v>41</v>
      </c>
    </row>
    <row r="44" spans="1:17">
      <c r="A44" s="238">
        <v>26</v>
      </c>
      <c r="B44" s="238" t="s">
        <v>412</v>
      </c>
      <c r="C44" s="238">
        <v>1</v>
      </c>
      <c r="D44" s="244"/>
      <c r="E44" s="244"/>
      <c r="F44" s="238">
        <v>2</v>
      </c>
      <c r="G44" s="244"/>
      <c r="H44" s="244"/>
      <c r="I44" s="251">
        <f t="shared" si="3"/>
        <v>105</v>
      </c>
      <c r="J44" s="217" t="s">
        <v>41</v>
      </c>
    </row>
    <row r="45" spans="1:17">
      <c r="A45" s="238">
        <v>27</v>
      </c>
      <c r="B45" s="238" t="s">
        <v>413</v>
      </c>
      <c r="C45" s="238">
        <v>1</v>
      </c>
      <c r="D45" s="244"/>
      <c r="E45" s="244"/>
      <c r="F45" s="238">
        <v>5</v>
      </c>
      <c r="G45" s="244"/>
      <c r="H45" s="244"/>
      <c r="I45" s="251">
        <f t="shared" si="3"/>
        <v>225</v>
      </c>
      <c r="J45" s="217" t="s">
        <v>41</v>
      </c>
    </row>
    <row r="46" spans="1:17">
      <c r="A46" s="238">
        <v>28</v>
      </c>
      <c r="B46" s="238" t="s">
        <v>414</v>
      </c>
      <c r="C46" s="238">
        <v>1</v>
      </c>
      <c r="D46" s="244"/>
      <c r="E46" s="244"/>
      <c r="F46" s="238">
        <v>7</v>
      </c>
      <c r="G46" s="244"/>
      <c r="H46" s="244"/>
      <c r="I46" s="251">
        <f t="shared" si="3"/>
        <v>305</v>
      </c>
      <c r="J46" s="217" t="s">
        <v>41</v>
      </c>
    </row>
    <row r="47" spans="1:17">
      <c r="A47" s="238">
        <v>29</v>
      </c>
      <c r="B47" s="238" t="s">
        <v>415</v>
      </c>
      <c r="C47" s="238">
        <v>3</v>
      </c>
      <c r="D47" s="244"/>
      <c r="E47" s="238">
        <v>1</v>
      </c>
      <c r="F47" s="238">
        <v>20</v>
      </c>
      <c r="G47" s="244"/>
      <c r="H47" s="244"/>
      <c r="I47" s="251">
        <f t="shared" si="3"/>
        <v>925</v>
      </c>
      <c r="J47" s="217" t="s">
        <v>41</v>
      </c>
    </row>
    <row r="48" spans="1:17">
      <c r="A48" s="238">
        <v>30</v>
      </c>
      <c r="B48" s="238" t="s">
        <v>416</v>
      </c>
      <c r="C48" s="238">
        <v>2</v>
      </c>
      <c r="D48" s="244"/>
      <c r="E48" s="238"/>
      <c r="F48" s="238">
        <v>10</v>
      </c>
      <c r="G48" s="244"/>
      <c r="H48" s="244"/>
      <c r="I48" s="251">
        <f t="shared" si="3"/>
        <v>450</v>
      </c>
      <c r="J48" s="217" t="s">
        <v>417</v>
      </c>
    </row>
    <row r="49" spans="8:9">
      <c r="H49" s="250" t="s">
        <v>37</v>
      </c>
      <c r="I49" s="251">
        <f>SUM(I39:I48)</f>
        <v>6157.5</v>
      </c>
    </row>
    <row r="50" spans="8:9">
      <c r="H50" s="250" t="s">
        <v>38</v>
      </c>
      <c r="I50" s="251">
        <f>I49+I37</f>
        <v>26167.5</v>
      </c>
    </row>
  </sheetData>
  <mergeCells count="6">
    <mergeCell ref="A38:I38"/>
    <mergeCell ref="A12:D12"/>
    <mergeCell ref="A14:B14"/>
    <mergeCell ref="C14:I14"/>
    <mergeCell ref="K14:Q14"/>
    <mergeCell ref="A37:G37"/>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AA63"/>
  <sheetViews>
    <sheetView workbookViewId="0"/>
  </sheetViews>
  <sheetFormatPr defaultColWidth="12.5703125" defaultRowHeight="15.75" customHeight="1"/>
  <cols>
    <col min="1" max="1" width="4.85546875" customWidth="1"/>
    <col min="2" max="2" width="50" customWidth="1"/>
    <col min="6" max="6" width="12" customWidth="1"/>
    <col min="11" max="11" width="30.5703125" customWidth="1"/>
  </cols>
  <sheetData>
    <row r="1" spans="1:27">
      <c r="A1" s="76" t="s">
        <v>11</v>
      </c>
      <c r="B1" s="76" t="s">
        <v>12</v>
      </c>
      <c r="C1" s="76" t="s">
        <v>3</v>
      </c>
      <c r="D1" s="76" t="s">
        <v>13</v>
      </c>
      <c r="E1" s="76" t="s">
        <v>4</v>
      </c>
    </row>
    <row r="2" spans="1:27">
      <c r="A2" s="2">
        <v>1</v>
      </c>
      <c r="B2" s="106" t="s">
        <v>14</v>
      </c>
      <c r="C2" s="107">
        <v>61.75</v>
      </c>
      <c r="D2" s="15">
        <v>30</v>
      </c>
      <c r="E2" s="15">
        <f t="shared" ref="E2:E10" si="0">D2*C2</f>
        <v>1852.5</v>
      </c>
    </row>
    <row r="3" spans="1:27">
      <c r="A3" s="2">
        <v>2</v>
      </c>
      <c r="B3" s="106" t="s">
        <v>15</v>
      </c>
      <c r="C3" s="107">
        <v>154</v>
      </c>
      <c r="D3" s="107">
        <v>25</v>
      </c>
      <c r="E3" s="107">
        <f t="shared" si="0"/>
        <v>3850</v>
      </c>
    </row>
    <row r="4" spans="1:27">
      <c r="A4" s="2">
        <v>3</v>
      </c>
      <c r="B4" s="106" t="s">
        <v>16</v>
      </c>
      <c r="C4" s="107">
        <v>26</v>
      </c>
      <c r="D4" s="107">
        <v>25</v>
      </c>
      <c r="E4" s="107">
        <f t="shared" si="0"/>
        <v>650</v>
      </c>
    </row>
    <row r="5" spans="1:27">
      <c r="A5" s="2">
        <v>4</v>
      </c>
      <c r="B5" s="108" t="s">
        <v>17</v>
      </c>
      <c r="C5" s="124">
        <v>40</v>
      </c>
      <c r="D5" s="19">
        <v>50</v>
      </c>
      <c r="E5" s="19">
        <f t="shared" si="0"/>
        <v>2000</v>
      </c>
    </row>
    <row r="6" spans="1:27">
      <c r="A6" s="2">
        <v>5</v>
      </c>
      <c r="B6" s="109" t="s">
        <v>18</v>
      </c>
      <c r="C6" s="110">
        <v>274</v>
      </c>
      <c r="D6" s="21">
        <v>40</v>
      </c>
      <c r="E6" s="21">
        <f t="shared" si="0"/>
        <v>10960</v>
      </c>
    </row>
    <row r="7" spans="1:27">
      <c r="A7" s="2">
        <v>6</v>
      </c>
      <c r="B7" s="109" t="s">
        <v>19</v>
      </c>
      <c r="C7" s="110">
        <v>304</v>
      </c>
      <c r="D7" s="110">
        <v>40</v>
      </c>
      <c r="E7" s="110">
        <f t="shared" si="0"/>
        <v>12160</v>
      </c>
    </row>
    <row r="8" spans="1:27">
      <c r="A8" s="2">
        <v>7</v>
      </c>
      <c r="B8" s="111" t="s">
        <v>20</v>
      </c>
      <c r="C8" s="125">
        <v>46.5</v>
      </c>
      <c r="D8" s="24">
        <v>35</v>
      </c>
      <c r="E8" s="24">
        <f t="shared" si="0"/>
        <v>1627.5</v>
      </c>
    </row>
    <row r="9" spans="1:27">
      <c r="A9" s="2">
        <v>8</v>
      </c>
      <c r="B9" s="111" t="s">
        <v>20</v>
      </c>
      <c r="C9" s="24"/>
      <c r="D9" s="24">
        <v>35</v>
      </c>
      <c r="E9" s="24">
        <f t="shared" si="0"/>
        <v>0</v>
      </c>
    </row>
    <row r="10" spans="1:27">
      <c r="A10" s="2">
        <v>9</v>
      </c>
      <c r="B10" s="111" t="s">
        <v>21</v>
      </c>
      <c r="C10" s="125">
        <v>60</v>
      </c>
      <c r="D10" s="26">
        <v>25</v>
      </c>
      <c r="E10" s="24">
        <f t="shared" si="0"/>
        <v>1500</v>
      </c>
    </row>
    <row r="11" spans="1:27">
      <c r="A11" s="495"/>
      <c r="B11" s="475"/>
      <c r="C11" s="475"/>
      <c r="D11" s="476"/>
      <c r="E11" s="27">
        <f>SUM(E2:E10)</f>
        <v>34600</v>
      </c>
    </row>
    <row r="13" spans="1:27">
      <c r="A13" s="493"/>
      <c r="B13" s="478"/>
      <c r="C13" s="479" t="s">
        <v>22</v>
      </c>
      <c r="D13" s="480"/>
      <c r="E13" s="480"/>
      <c r="F13" s="480"/>
      <c r="G13" s="480"/>
      <c r="H13" s="480"/>
      <c r="I13" s="478"/>
      <c r="J13" s="281" t="s">
        <v>5</v>
      </c>
      <c r="K13" s="483" t="s">
        <v>23</v>
      </c>
      <c r="L13" s="480"/>
      <c r="M13" s="480"/>
      <c r="N13" s="480"/>
      <c r="O13" s="480"/>
      <c r="P13" s="480"/>
      <c r="Q13" s="478"/>
    </row>
    <row r="14" spans="1:27">
      <c r="A14" s="282" t="s">
        <v>11</v>
      </c>
      <c r="B14" s="282" t="s">
        <v>0</v>
      </c>
      <c r="C14" s="282" t="s">
        <v>24</v>
      </c>
      <c r="D14" s="282" t="s">
        <v>25</v>
      </c>
      <c r="E14" s="282" t="s">
        <v>26</v>
      </c>
      <c r="F14" s="282" t="s">
        <v>27</v>
      </c>
      <c r="G14" s="282" t="s">
        <v>28</v>
      </c>
      <c r="H14" s="282" t="s">
        <v>21</v>
      </c>
      <c r="I14" s="283" t="s">
        <v>29</v>
      </c>
      <c r="J14" s="41"/>
      <c r="K14" s="284" t="s">
        <v>24</v>
      </c>
      <c r="L14" s="284" t="s">
        <v>25</v>
      </c>
      <c r="M14" s="284" t="s">
        <v>26</v>
      </c>
      <c r="N14" s="284" t="s">
        <v>27</v>
      </c>
      <c r="O14" s="284" t="s">
        <v>28</v>
      </c>
      <c r="P14" s="284" t="s">
        <v>21</v>
      </c>
      <c r="Q14" s="285" t="s">
        <v>30</v>
      </c>
      <c r="R14" s="12"/>
      <c r="S14" s="114"/>
      <c r="T14" s="114"/>
      <c r="U14" s="114"/>
      <c r="V14" s="114"/>
      <c r="W14" s="114"/>
      <c r="X14" s="114"/>
      <c r="Y14" s="114"/>
      <c r="Z14" s="114"/>
      <c r="AA14" s="114"/>
    </row>
    <row r="15" spans="1:27">
      <c r="A15" s="39">
        <v>1</v>
      </c>
      <c r="B15" s="41" t="s">
        <v>418</v>
      </c>
      <c r="C15" s="39">
        <v>20</v>
      </c>
      <c r="D15" s="39">
        <v>10</v>
      </c>
      <c r="E15" s="39">
        <v>8</v>
      </c>
      <c r="F15" s="41"/>
      <c r="G15" s="41"/>
      <c r="H15" s="34"/>
      <c r="I15" s="44">
        <f t="shared" ref="I15:I43" si="1">C15*25+D15*30+E15*50+F15*40+G15*35+H15*25</f>
        <v>1200</v>
      </c>
      <c r="J15" s="41"/>
      <c r="K15" s="38">
        <v>20</v>
      </c>
      <c r="L15" s="38">
        <v>10</v>
      </c>
      <c r="M15" s="38">
        <v>30</v>
      </c>
      <c r="N15" s="286"/>
      <c r="O15" s="286"/>
      <c r="P15" s="286"/>
      <c r="Q15" s="45">
        <f t="shared" ref="Q15:Q43" si="2">K15*25+L15*30+M15*50+N15*40+O15*35+P15*25</f>
        <v>2300</v>
      </c>
      <c r="R15" s="12"/>
    </row>
    <row r="16" spans="1:27">
      <c r="A16" s="287">
        <v>45292</v>
      </c>
      <c r="B16" s="288" t="s">
        <v>419</v>
      </c>
      <c r="C16" s="41"/>
      <c r="D16" s="41"/>
      <c r="E16" s="41"/>
      <c r="F16" s="39">
        <v>30</v>
      </c>
      <c r="G16" s="41"/>
      <c r="H16" s="41"/>
      <c r="I16" s="44">
        <f t="shared" si="1"/>
        <v>1200</v>
      </c>
      <c r="J16" s="41" t="s">
        <v>41</v>
      </c>
      <c r="K16" s="289"/>
      <c r="L16" s="286"/>
      <c r="M16" s="286"/>
      <c r="N16" s="38">
        <v>30</v>
      </c>
      <c r="O16" s="286"/>
      <c r="P16" s="286"/>
      <c r="Q16" s="45">
        <f t="shared" si="2"/>
        <v>1200</v>
      </c>
      <c r="R16" s="12"/>
    </row>
    <row r="17" spans="1:18">
      <c r="A17" s="287">
        <v>45323</v>
      </c>
      <c r="B17" s="288" t="s">
        <v>420</v>
      </c>
      <c r="C17" s="41"/>
      <c r="D17" s="41"/>
      <c r="E17" s="41"/>
      <c r="F17" s="39">
        <v>9</v>
      </c>
      <c r="G17" s="41"/>
      <c r="H17" s="34"/>
      <c r="I17" s="44">
        <f t="shared" si="1"/>
        <v>360</v>
      </c>
      <c r="J17" s="41" t="s">
        <v>41</v>
      </c>
      <c r="K17" s="286"/>
      <c r="L17" s="286"/>
      <c r="M17" s="286"/>
      <c r="N17" s="38">
        <v>12</v>
      </c>
      <c r="O17" s="286"/>
      <c r="P17" s="286"/>
      <c r="Q17" s="45">
        <f t="shared" si="2"/>
        <v>480</v>
      </c>
      <c r="R17" s="12"/>
    </row>
    <row r="18" spans="1:18">
      <c r="A18" s="287">
        <v>45352</v>
      </c>
      <c r="B18" s="288" t="s">
        <v>421</v>
      </c>
      <c r="C18" s="41"/>
      <c r="D18" s="41"/>
      <c r="E18" s="41"/>
      <c r="F18" s="39">
        <v>5</v>
      </c>
      <c r="G18" s="41"/>
      <c r="H18" s="34"/>
      <c r="I18" s="44">
        <f t="shared" si="1"/>
        <v>200</v>
      </c>
      <c r="J18" s="41" t="s">
        <v>41</v>
      </c>
      <c r="K18" s="286"/>
      <c r="L18" s="286"/>
      <c r="M18" s="286"/>
      <c r="N18" s="38">
        <v>4</v>
      </c>
      <c r="O18" s="286"/>
      <c r="P18" s="286"/>
      <c r="Q18" s="45">
        <f t="shared" si="2"/>
        <v>160</v>
      </c>
      <c r="R18" s="12"/>
    </row>
    <row r="19" spans="1:18">
      <c r="A19" s="287">
        <v>45383</v>
      </c>
      <c r="B19" s="288" t="s">
        <v>422</v>
      </c>
      <c r="C19" s="41"/>
      <c r="D19" s="41"/>
      <c r="E19" s="41"/>
      <c r="F19" s="39">
        <v>27</v>
      </c>
      <c r="G19" s="39">
        <v>3</v>
      </c>
      <c r="H19" s="34"/>
      <c r="I19" s="44">
        <f t="shared" si="1"/>
        <v>1185</v>
      </c>
      <c r="J19" s="41" t="s">
        <v>41</v>
      </c>
      <c r="K19" s="286"/>
      <c r="L19" s="286"/>
      <c r="M19" s="286"/>
      <c r="N19" s="38">
        <v>24</v>
      </c>
      <c r="O19" s="286"/>
      <c r="P19" s="286"/>
      <c r="Q19" s="45">
        <f t="shared" si="2"/>
        <v>960</v>
      </c>
      <c r="R19" s="12"/>
    </row>
    <row r="20" spans="1:18">
      <c r="A20" s="287">
        <v>45413</v>
      </c>
      <c r="B20" s="288" t="s">
        <v>423</v>
      </c>
      <c r="C20" s="41"/>
      <c r="D20" s="41"/>
      <c r="E20" s="41"/>
      <c r="F20" s="39">
        <v>15</v>
      </c>
      <c r="G20" s="33">
        <v>3</v>
      </c>
      <c r="H20" s="34"/>
      <c r="I20" s="44">
        <f t="shared" si="1"/>
        <v>705</v>
      </c>
      <c r="J20" s="41" t="s">
        <v>41</v>
      </c>
      <c r="K20" s="286"/>
      <c r="L20" s="286"/>
      <c r="M20" s="286"/>
      <c r="N20" s="38">
        <v>16</v>
      </c>
      <c r="O20" s="286"/>
      <c r="P20" s="286"/>
      <c r="Q20" s="45">
        <f t="shared" si="2"/>
        <v>640</v>
      </c>
      <c r="R20" s="12"/>
    </row>
    <row r="21" spans="1:18">
      <c r="A21" s="287">
        <v>45444</v>
      </c>
      <c r="B21" s="288" t="s">
        <v>424</v>
      </c>
      <c r="C21" s="41"/>
      <c r="D21" s="34"/>
      <c r="E21" s="41"/>
      <c r="F21" s="39">
        <v>13</v>
      </c>
      <c r="G21" s="41"/>
      <c r="H21" s="34"/>
      <c r="I21" s="44">
        <f t="shared" si="1"/>
        <v>520</v>
      </c>
      <c r="J21" s="41" t="s">
        <v>41</v>
      </c>
      <c r="K21" s="286"/>
      <c r="L21" s="286"/>
      <c r="M21" s="286"/>
      <c r="N21" s="38">
        <v>16</v>
      </c>
      <c r="O21" s="286"/>
      <c r="P21" s="286"/>
      <c r="Q21" s="45">
        <f t="shared" si="2"/>
        <v>640</v>
      </c>
      <c r="R21" s="12"/>
    </row>
    <row r="22" spans="1:18">
      <c r="A22" s="287">
        <v>45474</v>
      </c>
      <c r="B22" s="288" t="s">
        <v>425</v>
      </c>
      <c r="C22" s="41"/>
      <c r="D22" s="41"/>
      <c r="E22" s="41"/>
      <c r="F22" s="39">
        <v>17</v>
      </c>
      <c r="G22" s="39">
        <v>7</v>
      </c>
      <c r="H22" s="34"/>
      <c r="I22" s="44">
        <f t="shared" si="1"/>
        <v>925</v>
      </c>
      <c r="J22" s="41" t="s">
        <v>41</v>
      </c>
      <c r="K22" s="286"/>
      <c r="L22" s="286"/>
      <c r="M22" s="286"/>
      <c r="N22" s="38">
        <v>28</v>
      </c>
      <c r="O22" s="286"/>
      <c r="P22" s="286"/>
      <c r="Q22" s="45">
        <f t="shared" si="2"/>
        <v>1120</v>
      </c>
      <c r="R22" s="12"/>
    </row>
    <row r="23" spans="1:18">
      <c r="A23" s="287">
        <v>45505</v>
      </c>
      <c r="B23" s="288" t="s">
        <v>426</v>
      </c>
      <c r="C23" s="41"/>
      <c r="D23" s="41"/>
      <c r="E23" s="41"/>
      <c r="F23" s="39">
        <v>8</v>
      </c>
      <c r="G23" s="39">
        <v>5</v>
      </c>
      <c r="H23" s="34"/>
      <c r="I23" s="44">
        <f t="shared" si="1"/>
        <v>495</v>
      </c>
      <c r="J23" s="41" t="s">
        <v>41</v>
      </c>
      <c r="K23" s="286"/>
      <c r="L23" s="286"/>
      <c r="M23" s="286"/>
      <c r="N23" s="38">
        <v>16</v>
      </c>
      <c r="O23" s="286"/>
      <c r="P23" s="286"/>
      <c r="Q23" s="45">
        <f t="shared" si="2"/>
        <v>640</v>
      </c>
      <c r="R23" s="12"/>
    </row>
    <row r="24" spans="1:18">
      <c r="A24" s="287">
        <v>45536</v>
      </c>
      <c r="B24" s="290" t="s">
        <v>427</v>
      </c>
      <c r="C24" s="41"/>
      <c r="D24" s="41"/>
      <c r="E24" s="41"/>
      <c r="F24" s="39">
        <v>15</v>
      </c>
      <c r="G24" s="41"/>
      <c r="H24" s="34"/>
      <c r="I24" s="44">
        <f t="shared" si="1"/>
        <v>600</v>
      </c>
      <c r="J24" s="41" t="s">
        <v>41</v>
      </c>
      <c r="K24" s="286"/>
      <c r="L24" s="286"/>
      <c r="M24" s="286"/>
      <c r="N24" s="38">
        <v>20</v>
      </c>
      <c r="O24" s="286"/>
      <c r="P24" s="286"/>
      <c r="Q24" s="45">
        <f t="shared" si="2"/>
        <v>800</v>
      </c>
      <c r="R24" s="12"/>
    </row>
    <row r="25" spans="1:18">
      <c r="A25" s="287">
        <v>45566</v>
      </c>
      <c r="B25" s="288" t="s">
        <v>428</v>
      </c>
      <c r="C25" s="41"/>
      <c r="D25" s="41"/>
      <c r="E25" s="41"/>
      <c r="F25" s="39">
        <v>30</v>
      </c>
      <c r="G25" s="41"/>
      <c r="H25" s="34"/>
      <c r="I25" s="44">
        <f t="shared" si="1"/>
        <v>1200</v>
      </c>
      <c r="J25" s="41" t="s">
        <v>41</v>
      </c>
      <c r="K25" s="286"/>
      <c r="L25" s="286"/>
      <c r="M25" s="286"/>
      <c r="N25" s="38">
        <v>20</v>
      </c>
      <c r="O25" s="286"/>
      <c r="P25" s="286"/>
      <c r="Q25" s="45">
        <f t="shared" si="2"/>
        <v>800</v>
      </c>
      <c r="R25" s="12"/>
    </row>
    <row r="26" spans="1:18">
      <c r="A26" s="287">
        <v>45597</v>
      </c>
      <c r="B26" s="288" t="s">
        <v>429</v>
      </c>
      <c r="C26" s="41"/>
      <c r="D26" s="41"/>
      <c r="E26" s="41"/>
      <c r="F26" s="39">
        <v>10</v>
      </c>
      <c r="G26" s="41"/>
      <c r="H26" s="34"/>
      <c r="I26" s="44">
        <f t="shared" si="1"/>
        <v>400</v>
      </c>
      <c r="J26" s="41" t="s">
        <v>41</v>
      </c>
      <c r="K26" s="286"/>
      <c r="L26" s="286"/>
      <c r="M26" s="286"/>
      <c r="N26" s="38">
        <v>16</v>
      </c>
      <c r="O26" s="286"/>
      <c r="P26" s="286"/>
      <c r="Q26" s="45">
        <f t="shared" si="2"/>
        <v>640</v>
      </c>
      <c r="R26" s="12"/>
    </row>
    <row r="27" spans="1:18">
      <c r="A27" s="39">
        <v>2</v>
      </c>
      <c r="B27" s="41" t="s">
        <v>430</v>
      </c>
      <c r="C27" s="39">
        <v>10</v>
      </c>
      <c r="D27" s="39">
        <v>2</v>
      </c>
      <c r="E27" s="39">
        <v>1</v>
      </c>
      <c r="F27" s="41"/>
      <c r="G27" s="41"/>
      <c r="H27" s="34"/>
      <c r="I27" s="44">
        <f t="shared" si="1"/>
        <v>360</v>
      </c>
      <c r="J27" s="41"/>
      <c r="K27" s="38">
        <v>30</v>
      </c>
      <c r="L27" s="38">
        <v>10</v>
      </c>
      <c r="M27" s="38">
        <v>15</v>
      </c>
      <c r="N27" s="286"/>
      <c r="O27" s="286"/>
      <c r="P27" s="286"/>
      <c r="Q27" s="45">
        <f t="shared" si="2"/>
        <v>1800</v>
      </c>
      <c r="R27" s="12"/>
    </row>
    <row r="28" spans="1:18">
      <c r="A28" s="287">
        <v>45293</v>
      </c>
      <c r="B28" s="288" t="s">
        <v>431</v>
      </c>
      <c r="C28" s="41"/>
      <c r="D28" s="41"/>
      <c r="E28" s="41"/>
      <c r="F28" s="41"/>
      <c r="G28" s="39">
        <v>3</v>
      </c>
      <c r="H28" s="34"/>
      <c r="I28" s="44">
        <f t="shared" si="1"/>
        <v>105</v>
      </c>
      <c r="J28" s="41" t="s">
        <v>128</v>
      </c>
      <c r="K28" s="286"/>
      <c r="L28" s="286"/>
      <c r="M28" s="286"/>
      <c r="N28" s="286"/>
      <c r="O28" s="38">
        <v>8</v>
      </c>
      <c r="P28" s="286"/>
      <c r="Q28" s="45">
        <f t="shared" si="2"/>
        <v>280</v>
      </c>
      <c r="R28" s="12"/>
    </row>
    <row r="29" spans="1:18">
      <c r="A29" s="291">
        <v>45324</v>
      </c>
      <c r="B29" s="292" t="s">
        <v>432</v>
      </c>
      <c r="C29" s="41"/>
      <c r="D29" s="41"/>
      <c r="E29" s="41"/>
      <c r="F29" s="41"/>
      <c r="G29" s="39">
        <v>4.5</v>
      </c>
      <c r="H29" s="34"/>
      <c r="I29" s="44">
        <f t="shared" si="1"/>
        <v>157.5</v>
      </c>
      <c r="J29" s="41" t="s">
        <v>128</v>
      </c>
      <c r="K29" s="286"/>
      <c r="L29" s="286"/>
      <c r="M29" s="286"/>
      <c r="N29" s="286"/>
      <c r="O29" s="293">
        <v>14</v>
      </c>
      <c r="P29" s="286"/>
      <c r="Q29" s="45">
        <f t="shared" si="2"/>
        <v>490</v>
      </c>
      <c r="R29" s="12"/>
    </row>
    <row r="30" spans="1:18">
      <c r="A30" s="291">
        <v>45353</v>
      </c>
      <c r="B30" s="292" t="s">
        <v>433</v>
      </c>
      <c r="C30" s="41"/>
      <c r="D30" s="41"/>
      <c r="E30" s="41"/>
      <c r="F30" s="41"/>
      <c r="G30" s="41"/>
      <c r="H30" s="34"/>
      <c r="I30" s="294">
        <f t="shared" si="1"/>
        <v>0</v>
      </c>
      <c r="J30" s="41" t="s">
        <v>72</v>
      </c>
      <c r="K30" s="286"/>
      <c r="L30" s="286"/>
      <c r="M30" s="286"/>
      <c r="N30" s="286"/>
      <c r="O30" s="293">
        <v>26</v>
      </c>
      <c r="P30" s="286"/>
      <c r="Q30" s="295">
        <f t="shared" si="2"/>
        <v>910</v>
      </c>
      <c r="R30" s="12"/>
    </row>
    <row r="31" spans="1:18">
      <c r="A31" s="291">
        <v>45384</v>
      </c>
      <c r="B31" s="292" t="s">
        <v>434</v>
      </c>
      <c r="C31" s="41"/>
      <c r="D31" s="41"/>
      <c r="E31" s="41"/>
      <c r="F31" s="41"/>
      <c r="G31" s="41"/>
      <c r="H31" s="34"/>
      <c r="I31" s="294">
        <f t="shared" si="1"/>
        <v>0</v>
      </c>
      <c r="J31" s="41" t="s">
        <v>72</v>
      </c>
      <c r="K31" s="286"/>
      <c r="L31" s="286"/>
      <c r="M31" s="286"/>
      <c r="N31" s="286"/>
      <c r="O31" s="293">
        <v>24</v>
      </c>
      <c r="P31" s="286"/>
      <c r="Q31" s="295">
        <f t="shared" si="2"/>
        <v>840</v>
      </c>
      <c r="R31" s="12"/>
    </row>
    <row r="32" spans="1:18">
      <c r="A32" s="291">
        <v>45414</v>
      </c>
      <c r="B32" s="292" t="s">
        <v>435</v>
      </c>
      <c r="C32" s="41"/>
      <c r="D32" s="41"/>
      <c r="E32" s="41"/>
      <c r="F32" s="41"/>
      <c r="G32" s="41"/>
      <c r="H32" s="34"/>
      <c r="I32" s="294">
        <f t="shared" si="1"/>
        <v>0</v>
      </c>
      <c r="J32" s="41" t="s">
        <v>72</v>
      </c>
      <c r="K32" s="286"/>
      <c r="L32" s="286"/>
      <c r="M32" s="286"/>
      <c r="N32" s="286"/>
      <c r="O32" s="293">
        <v>48</v>
      </c>
      <c r="P32" s="286"/>
      <c r="Q32" s="295">
        <f t="shared" si="2"/>
        <v>1680</v>
      </c>
      <c r="R32" s="12"/>
    </row>
    <row r="33" spans="1:18">
      <c r="A33" s="291">
        <v>45445</v>
      </c>
      <c r="B33" s="292" t="s">
        <v>436</v>
      </c>
      <c r="C33" s="41"/>
      <c r="D33" s="41"/>
      <c r="E33" s="41"/>
      <c r="F33" s="41"/>
      <c r="G33" s="41"/>
      <c r="H33" s="34"/>
      <c r="I33" s="294">
        <f t="shared" si="1"/>
        <v>0</v>
      </c>
      <c r="J33" s="41" t="s">
        <v>72</v>
      </c>
      <c r="K33" s="286"/>
      <c r="L33" s="286"/>
      <c r="M33" s="286"/>
      <c r="N33" s="286"/>
      <c r="O33" s="293">
        <v>40</v>
      </c>
      <c r="P33" s="286"/>
      <c r="Q33" s="295">
        <f t="shared" si="2"/>
        <v>1400</v>
      </c>
      <c r="R33" s="12"/>
    </row>
    <row r="34" spans="1:18">
      <c r="A34" s="39">
        <v>3</v>
      </c>
      <c r="B34" s="41" t="s">
        <v>437</v>
      </c>
      <c r="C34" s="39">
        <v>80</v>
      </c>
      <c r="D34" s="39">
        <v>29</v>
      </c>
      <c r="E34" s="39">
        <v>8</v>
      </c>
      <c r="F34" s="41"/>
      <c r="G34" s="41"/>
      <c r="H34" s="39">
        <v>60</v>
      </c>
      <c r="I34" s="44">
        <f t="shared" si="1"/>
        <v>4770</v>
      </c>
      <c r="J34" s="34" t="s">
        <v>41</v>
      </c>
      <c r="K34" s="38">
        <v>120</v>
      </c>
      <c r="L34" s="38">
        <v>40</v>
      </c>
      <c r="M34" s="38">
        <v>8</v>
      </c>
      <c r="N34" s="286"/>
      <c r="O34" s="286"/>
      <c r="P34" s="38">
        <v>100</v>
      </c>
      <c r="Q34" s="45">
        <f t="shared" si="2"/>
        <v>7100</v>
      </c>
      <c r="R34" s="12"/>
    </row>
    <row r="35" spans="1:18">
      <c r="A35" s="39">
        <v>4</v>
      </c>
      <c r="B35" s="41" t="s">
        <v>438</v>
      </c>
      <c r="C35" s="39">
        <v>4</v>
      </c>
      <c r="D35" s="41"/>
      <c r="E35" s="39">
        <v>1</v>
      </c>
      <c r="F35" s="39">
        <v>16</v>
      </c>
      <c r="G35" s="41"/>
      <c r="H35" s="34"/>
      <c r="I35" s="44">
        <f t="shared" si="1"/>
        <v>790</v>
      </c>
      <c r="J35" s="41" t="s">
        <v>41</v>
      </c>
      <c r="K35" s="38">
        <v>4</v>
      </c>
      <c r="L35" s="286"/>
      <c r="M35" s="38">
        <v>2</v>
      </c>
      <c r="N35" s="38">
        <v>24</v>
      </c>
      <c r="O35" s="286"/>
      <c r="P35" s="286"/>
      <c r="Q35" s="45">
        <f t="shared" si="2"/>
        <v>1160</v>
      </c>
      <c r="R35" s="12"/>
    </row>
    <row r="36" spans="1:18">
      <c r="A36" s="39">
        <v>5</v>
      </c>
      <c r="B36" s="41" t="s">
        <v>439</v>
      </c>
      <c r="C36" s="39">
        <v>4</v>
      </c>
      <c r="D36" s="41"/>
      <c r="E36" s="39">
        <v>1</v>
      </c>
      <c r="F36" s="39">
        <v>16</v>
      </c>
      <c r="G36" s="41"/>
      <c r="H36" s="34"/>
      <c r="I36" s="44">
        <f t="shared" si="1"/>
        <v>790</v>
      </c>
      <c r="J36" s="41" t="s">
        <v>41</v>
      </c>
      <c r="K36" s="38">
        <v>4</v>
      </c>
      <c r="L36" s="286"/>
      <c r="M36" s="38">
        <v>2</v>
      </c>
      <c r="N36" s="38">
        <v>24</v>
      </c>
      <c r="O36" s="286"/>
      <c r="P36" s="286"/>
      <c r="Q36" s="45">
        <f t="shared" si="2"/>
        <v>1160</v>
      </c>
      <c r="R36" s="12"/>
    </row>
    <row r="37" spans="1:18">
      <c r="A37" s="296">
        <v>6</v>
      </c>
      <c r="B37" s="297" t="s">
        <v>440</v>
      </c>
      <c r="C37" s="34"/>
      <c r="D37" s="41"/>
      <c r="E37" s="34"/>
      <c r="F37" s="34"/>
      <c r="G37" s="41"/>
      <c r="H37" s="41"/>
      <c r="I37" s="294">
        <f t="shared" si="1"/>
        <v>0</v>
      </c>
      <c r="J37" s="34"/>
      <c r="K37" s="293">
        <v>20</v>
      </c>
      <c r="L37" s="293">
        <v>10</v>
      </c>
      <c r="M37" s="286"/>
      <c r="N37" s="293">
        <v>8</v>
      </c>
      <c r="O37" s="293">
        <v>50</v>
      </c>
      <c r="P37" s="286"/>
      <c r="Q37" s="295">
        <f t="shared" si="2"/>
        <v>2870</v>
      </c>
      <c r="R37" s="12"/>
    </row>
    <row r="38" spans="1:18">
      <c r="A38" s="39">
        <v>7</v>
      </c>
      <c r="B38" s="42" t="s">
        <v>441</v>
      </c>
      <c r="C38" s="33">
        <v>8</v>
      </c>
      <c r="D38" s="34"/>
      <c r="E38" s="33">
        <v>2</v>
      </c>
      <c r="F38" s="33">
        <v>16</v>
      </c>
      <c r="G38" s="39">
        <v>12</v>
      </c>
      <c r="H38" s="41"/>
      <c r="I38" s="44">
        <f t="shared" si="1"/>
        <v>1360</v>
      </c>
      <c r="J38" s="41" t="s">
        <v>41</v>
      </c>
      <c r="K38" s="38">
        <v>2</v>
      </c>
      <c r="L38" s="286"/>
      <c r="M38" s="286"/>
      <c r="N38" s="38">
        <v>12</v>
      </c>
      <c r="O38" s="38">
        <v>10</v>
      </c>
      <c r="P38" s="286"/>
      <c r="Q38" s="45">
        <f t="shared" si="2"/>
        <v>880</v>
      </c>
      <c r="R38" s="12"/>
    </row>
    <row r="39" spans="1:18">
      <c r="A39" s="39">
        <v>8</v>
      </c>
      <c r="B39" s="34" t="s">
        <v>399</v>
      </c>
      <c r="C39" s="34"/>
      <c r="D39" s="34"/>
      <c r="E39" s="33">
        <v>0.5</v>
      </c>
      <c r="F39" s="33">
        <v>3</v>
      </c>
      <c r="G39" s="34"/>
      <c r="H39" s="34"/>
      <c r="I39" s="44">
        <f t="shared" si="1"/>
        <v>145</v>
      </c>
      <c r="J39" s="41" t="s">
        <v>41</v>
      </c>
      <c r="K39" s="286"/>
      <c r="L39" s="286"/>
      <c r="M39" s="38">
        <v>2</v>
      </c>
      <c r="N39" s="286"/>
      <c r="O39" s="38">
        <v>12</v>
      </c>
      <c r="P39" s="286"/>
      <c r="Q39" s="45">
        <f t="shared" si="2"/>
        <v>520</v>
      </c>
      <c r="R39" s="12"/>
    </row>
    <row r="40" spans="1:18">
      <c r="A40" s="39">
        <v>9</v>
      </c>
      <c r="B40" s="41" t="s">
        <v>442</v>
      </c>
      <c r="C40" s="33">
        <v>1</v>
      </c>
      <c r="D40" s="34"/>
      <c r="E40" s="34"/>
      <c r="F40" s="34"/>
      <c r="G40" s="33">
        <v>1</v>
      </c>
      <c r="H40" s="34"/>
      <c r="I40" s="44">
        <f t="shared" si="1"/>
        <v>60</v>
      </c>
      <c r="J40" s="41" t="s">
        <v>41</v>
      </c>
      <c r="K40" s="38">
        <v>1</v>
      </c>
      <c r="L40" s="286"/>
      <c r="M40" s="286"/>
      <c r="N40" s="38">
        <v>3</v>
      </c>
      <c r="O40" s="38">
        <v>1</v>
      </c>
      <c r="P40" s="286"/>
      <c r="Q40" s="45">
        <f t="shared" si="2"/>
        <v>180</v>
      </c>
      <c r="R40" s="12"/>
    </row>
    <row r="41" spans="1:18">
      <c r="A41" s="39">
        <v>10</v>
      </c>
      <c r="B41" s="298" t="s">
        <v>405</v>
      </c>
      <c r="C41" s="39">
        <v>6</v>
      </c>
      <c r="D41" s="41"/>
      <c r="E41" s="39">
        <v>1</v>
      </c>
      <c r="F41" s="39">
        <v>16</v>
      </c>
      <c r="G41" s="34"/>
      <c r="H41" s="34"/>
      <c r="I41" s="44">
        <f t="shared" si="1"/>
        <v>840</v>
      </c>
      <c r="J41" s="41" t="s">
        <v>41</v>
      </c>
      <c r="K41" s="38">
        <v>6</v>
      </c>
      <c r="L41" s="286"/>
      <c r="M41" s="38">
        <v>2</v>
      </c>
      <c r="N41" s="38">
        <v>10</v>
      </c>
      <c r="O41" s="286"/>
      <c r="P41" s="286"/>
      <c r="Q41" s="45">
        <f t="shared" si="2"/>
        <v>650</v>
      </c>
      <c r="R41" s="12"/>
    </row>
    <row r="42" spans="1:18">
      <c r="A42" s="39">
        <v>11</v>
      </c>
      <c r="B42" s="298" t="s">
        <v>443</v>
      </c>
      <c r="C42" s="41"/>
      <c r="D42" s="41"/>
      <c r="E42" s="39">
        <v>1</v>
      </c>
      <c r="F42" s="39">
        <v>18</v>
      </c>
      <c r="G42" s="34"/>
      <c r="H42" s="34"/>
      <c r="I42" s="44">
        <f t="shared" si="1"/>
        <v>770</v>
      </c>
      <c r="J42" s="41" t="s">
        <v>41</v>
      </c>
      <c r="K42" s="286"/>
      <c r="L42" s="286"/>
      <c r="M42" s="286"/>
      <c r="N42" s="38">
        <v>20</v>
      </c>
      <c r="O42" s="286"/>
      <c r="P42" s="286"/>
      <c r="Q42" s="45">
        <f t="shared" si="2"/>
        <v>800</v>
      </c>
      <c r="R42" s="12"/>
    </row>
    <row r="43" spans="1:18">
      <c r="A43" s="39">
        <v>12</v>
      </c>
      <c r="B43" s="41" t="s">
        <v>306</v>
      </c>
      <c r="C43" s="39">
        <v>30</v>
      </c>
      <c r="D43" s="41"/>
      <c r="E43" s="41"/>
      <c r="F43" s="41"/>
      <c r="G43" s="34"/>
      <c r="H43" s="34"/>
      <c r="I43" s="44">
        <f t="shared" si="1"/>
        <v>750</v>
      </c>
      <c r="J43" s="41" t="s">
        <v>41</v>
      </c>
      <c r="K43" s="299">
        <v>30</v>
      </c>
      <c r="L43" s="300">
        <v>30</v>
      </c>
      <c r="M43" s="301"/>
      <c r="N43" s="301"/>
      <c r="O43" s="301"/>
      <c r="P43" s="301"/>
      <c r="Q43" s="45">
        <f t="shared" si="2"/>
        <v>1650</v>
      </c>
      <c r="R43" s="12"/>
    </row>
    <row r="44" spans="1:18">
      <c r="A44" s="493"/>
      <c r="B44" s="480"/>
      <c r="C44" s="480"/>
      <c r="D44" s="480"/>
      <c r="E44" s="480"/>
      <c r="F44" s="480"/>
      <c r="G44" s="480"/>
      <c r="H44" s="302" t="s">
        <v>37</v>
      </c>
      <c r="I44" s="44">
        <f>SUM(I15:I43)</f>
        <v>19887.5</v>
      </c>
      <c r="J44" s="12"/>
      <c r="K44" s="286"/>
      <c r="L44" s="286"/>
      <c r="M44" s="286"/>
      <c r="N44" s="286"/>
      <c r="O44" s="286"/>
      <c r="P44" s="303" t="s">
        <v>37</v>
      </c>
      <c r="Q44" s="45">
        <f>SUM(Q15:Q43)</f>
        <v>34750</v>
      </c>
      <c r="R44" s="12"/>
    </row>
    <row r="45" spans="1:18">
      <c r="A45" s="12"/>
      <c r="B45" s="12"/>
      <c r="C45" s="12"/>
      <c r="D45" s="12"/>
      <c r="E45" s="12"/>
      <c r="F45" s="12"/>
      <c r="G45" s="12"/>
      <c r="H45" s="12"/>
      <c r="I45" s="12"/>
      <c r="J45" s="12"/>
      <c r="K45" s="12"/>
      <c r="L45" s="12"/>
      <c r="M45" s="12"/>
      <c r="N45" s="12"/>
      <c r="O45" s="12"/>
      <c r="P45" s="304" t="s">
        <v>444</v>
      </c>
      <c r="Q45" s="305">
        <f>SUM(Q15:Q29)+SUM(Q34:Q36)+SUM(Q38:Q43)</f>
        <v>27050</v>
      </c>
      <c r="R45" s="12"/>
    </row>
    <row r="46" spans="1:18">
      <c r="A46" s="479" t="s">
        <v>343</v>
      </c>
      <c r="B46" s="480"/>
      <c r="C46" s="480"/>
      <c r="D46" s="480"/>
      <c r="E46" s="480"/>
      <c r="F46" s="480"/>
      <c r="G46" s="480"/>
      <c r="H46" s="480"/>
      <c r="I46" s="478"/>
      <c r="J46" s="16"/>
      <c r="K46" s="12"/>
      <c r="L46" s="12"/>
      <c r="M46" s="12"/>
      <c r="N46" s="12"/>
      <c r="O46" s="12"/>
      <c r="P46" s="12"/>
      <c r="Q46" s="12"/>
      <c r="R46" s="12"/>
    </row>
    <row r="47" spans="1:18">
      <c r="A47" s="206">
        <v>13</v>
      </c>
      <c r="B47" s="306" t="s">
        <v>445</v>
      </c>
      <c r="C47" s="34"/>
      <c r="D47" s="33">
        <v>9</v>
      </c>
      <c r="E47" s="33">
        <v>6</v>
      </c>
      <c r="F47" s="33">
        <v>25</v>
      </c>
      <c r="G47" s="34"/>
      <c r="H47" s="34"/>
      <c r="I47" s="37">
        <f t="shared" ref="I47:I53" si="3">C47*25+D47*30+E47*50+F47*40+G47*35+H47*25</f>
        <v>1570</v>
      </c>
      <c r="J47" s="16"/>
      <c r="K47" s="12"/>
      <c r="L47" s="12"/>
      <c r="M47" s="12"/>
      <c r="N47" s="12"/>
      <c r="O47" s="12"/>
      <c r="P47" s="12"/>
      <c r="Q47" s="12"/>
      <c r="R47" s="12"/>
    </row>
    <row r="48" spans="1:18">
      <c r="A48" s="206">
        <v>14</v>
      </c>
      <c r="B48" s="306" t="s">
        <v>446</v>
      </c>
      <c r="C48" s="34"/>
      <c r="D48" s="33">
        <v>6.75</v>
      </c>
      <c r="E48" s="33">
        <v>4.5</v>
      </c>
      <c r="F48" s="33">
        <v>52</v>
      </c>
      <c r="G48" s="34"/>
      <c r="H48" s="34"/>
      <c r="I48" s="37">
        <f t="shared" si="3"/>
        <v>2507.5</v>
      </c>
      <c r="J48" s="16"/>
      <c r="K48" s="12"/>
      <c r="L48" s="12"/>
      <c r="M48" s="12"/>
      <c r="N48" s="12"/>
      <c r="O48" s="12"/>
      <c r="P48" s="12"/>
      <c r="Q48" s="12"/>
      <c r="R48" s="12"/>
    </row>
    <row r="49" spans="1:18">
      <c r="A49" s="206">
        <v>15</v>
      </c>
      <c r="B49" s="306" t="s">
        <v>447</v>
      </c>
      <c r="C49" s="34"/>
      <c r="D49" s="34"/>
      <c r="E49" s="34"/>
      <c r="F49" s="33">
        <v>43</v>
      </c>
      <c r="G49" s="34"/>
      <c r="H49" s="34"/>
      <c r="I49" s="37">
        <f t="shared" si="3"/>
        <v>1720</v>
      </c>
      <c r="J49" s="16"/>
      <c r="K49" s="12"/>
      <c r="L49" s="12"/>
      <c r="M49" s="12"/>
      <c r="N49" s="12"/>
      <c r="O49" s="12"/>
      <c r="P49" s="12"/>
      <c r="Q49" s="12"/>
      <c r="R49" s="12"/>
    </row>
    <row r="50" spans="1:18">
      <c r="A50" s="206">
        <v>16</v>
      </c>
      <c r="B50" s="307" t="s">
        <v>448</v>
      </c>
      <c r="C50" s="33">
        <v>4</v>
      </c>
      <c r="D50" s="34"/>
      <c r="E50" s="34"/>
      <c r="F50" s="33">
        <v>16</v>
      </c>
      <c r="G50" s="34"/>
      <c r="H50" s="34"/>
      <c r="I50" s="37">
        <f t="shared" si="3"/>
        <v>740</v>
      </c>
      <c r="J50" s="16"/>
      <c r="K50" s="12"/>
      <c r="L50" s="12"/>
      <c r="M50" s="12"/>
      <c r="N50" s="12"/>
      <c r="O50" s="12"/>
      <c r="P50" s="12"/>
      <c r="Q50" s="12"/>
      <c r="R50" s="12"/>
    </row>
    <row r="51" spans="1:18">
      <c r="A51" s="206">
        <v>17</v>
      </c>
      <c r="B51" s="307" t="s">
        <v>449</v>
      </c>
      <c r="C51" s="33">
        <v>2</v>
      </c>
      <c r="D51" s="34"/>
      <c r="E51" s="34"/>
      <c r="F51" s="33">
        <v>16</v>
      </c>
      <c r="G51" s="34"/>
      <c r="H51" s="34"/>
      <c r="I51" s="37">
        <f t="shared" si="3"/>
        <v>690</v>
      </c>
      <c r="J51" s="16"/>
      <c r="K51" s="12"/>
      <c r="L51" s="12"/>
      <c r="M51" s="12"/>
      <c r="N51" s="12"/>
      <c r="O51" s="12"/>
      <c r="P51" s="12"/>
      <c r="Q51" s="12"/>
      <c r="R51" s="12"/>
    </row>
    <row r="52" spans="1:18">
      <c r="A52" s="206">
        <v>18</v>
      </c>
      <c r="B52" s="41" t="s">
        <v>450</v>
      </c>
      <c r="C52" s="33">
        <v>4</v>
      </c>
      <c r="D52" s="33">
        <v>3</v>
      </c>
      <c r="E52" s="33">
        <v>2</v>
      </c>
      <c r="F52" s="33">
        <v>24</v>
      </c>
      <c r="G52" s="34"/>
      <c r="H52" s="34"/>
      <c r="I52" s="37">
        <f t="shared" si="3"/>
        <v>1250</v>
      </c>
      <c r="J52" s="16"/>
      <c r="K52" s="12"/>
      <c r="L52" s="12"/>
      <c r="M52" s="12"/>
      <c r="N52" s="12"/>
      <c r="O52" s="12"/>
      <c r="P52" s="12"/>
      <c r="Q52" s="12"/>
      <c r="R52" s="12"/>
    </row>
    <row r="53" spans="1:18">
      <c r="A53" s="206">
        <v>19</v>
      </c>
      <c r="B53" s="41" t="s">
        <v>451</v>
      </c>
      <c r="C53" s="33">
        <v>2</v>
      </c>
      <c r="D53" s="33">
        <v>2</v>
      </c>
      <c r="E53" s="33">
        <v>2</v>
      </c>
      <c r="F53" s="33">
        <v>56</v>
      </c>
      <c r="G53" s="34"/>
      <c r="H53" s="34"/>
      <c r="I53" s="37">
        <f t="shared" si="3"/>
        <v>2450</v>
      </c>
      <c r="J53" s="16"/>
      <c r="K53" s="12"/>
      <c r="L53" s="12"/>
      <c r="M53" s="12"/>
      <c r="N53" s="12"/>
      <c r="O53" s="12"/>
      <c r="P53" s="12"/>
      <c r="Q53" s="12"/>
      <c r="R53" s="12"/>
    </row>
    <row r="54" spans="1:18">
      <c r="A54" s="39">
        <v>20</v>
      </c>
      <c r="B54" s="41" t="s">
        <v>452</v>
      </c>
      <c r="C54" s="34"/>
      <c r="D54" s="34"/>
      <c r="E54" s="34"/>
      <c r="F54" s="34"/>
      <c r="G54" s="34"/>
      <c r="H54" s="34"/>
      <c r="I54" s="34"/>
      <c r="J54" s="12"/>
      <c r="K54" s="12"/>
      <c r="L54" s="12"/>
      <c r="M54" s="12"/>
      <c r="N54" s="12"/>
      <c r="O54" s="12"/>
      <c r="P54" s="12"/>
      <c r="Q54" s="12"/>
      <c r="R54" s="12"/>
    </row>
    <row r="55" spans="1:18">
      <c r="A55" s="308">
        <v>45311</v>
      </c>
      <c r="B55" s="41" t="s">
        <v>453</v>
      </c>
      <c r="C55" s="34"/>
      <c r="D55" s="34"/>
      <c r="E55" s="34"/>
      <c r="F55" s="33">
        <v>6</v>
      </c>
      <c r="G55" s="34"/>
      <c r="H55" s="34"/>
      <c r="I55" s="37">
        <f t="shared" ref="I55:I61" si="4">C55*25+D55*30+E55*50+F55*40+G55*35+H55*25</f>
        <v>240</v>
      </c>
      <c r="J55" s="12"/>
      <c r="K55" s="309"/>
      <c r="L55" s="12"/>
      <c r="M55" s="12"/>
      <c r="N55" s="12"/>
      <c r="O55" s="12"/>
      <c r="P55" s="12"/>
      <c r="Q55" s="12"/>
      <c r="R55" s="12"/>
    </row>
    <row r="56" spans="1:18">
      <c r="A56" s="308">
        <v>45342</v>
      </c>
      <c r="B56" s="41" t="s">
        <v>454</v>
      </c>
      <c r="C56" s="34"/>
      <c r="D56" s="34"/>
      <c r="E56" s="34"/>
      <c r="F56" s="33">
        <v>4</v>
      </c>
      <c r="G56" s="34"/>
      <c r="H56" s="34"/>
      <c r="I56" s="37">
        <f t="shared" si="4"/>
        <v>160</v>
      </c>
      <c r="J56" s="12"/>
      <c r="K56" s="12"/>
      <c r="L56" s="12"/>
      <c r="M56" s="12"/>
      <c r="N56" s="12"/>
      <c r="O56" s="12"/>
      <c r="P56" s="12"/>
      <c r="Q56" s="12"/>
      <c r="R56" s="12"/>
    </row>
    <row r="57" spans="1:18">
      <c r="A57" s="33">
        <v>21</v>
      </c>
      <c r="B57" s="34" t="s">
        <v>455</v>
      </c>
      <c r="C57" s="33">
        <v>2</v>
      </c>
      <c r="D57" s="34"/>
      <c r="E57" s="34"/>
      <c r="F57" s="33">
        <v>8</v>
      </c>
      <c r="G57" s="34"/>
      <c r="H57" s="34"/>
      <c r="I57" s="37">
        <f t="shared" si="4"/>
        <v>370</v>
      </c>
      <c r="J57" s="12"/>
      <c r="K57" s="12"/>
      <c r="L57" s="12"/>
      <c r="M57" s="12"/>
      <c r="N57" s="12"/>
      <c r="O57" s="12"/>
      <c r="P57" s="12"/>
      <c r="Q57" s="12"/>
      <c r="R57" s="12"/>
    </row>
    <row r="58" spans="1:18">
      <c r="A58" s="33">
        <v>22</v>
      </c>
      <c r="B58" s="34" t="s">
        <v>456</v>
      </c>
      <c r="C58" s="34"/>
      <c r="D58" s="34"/>
      <c r="E58" s="34"/>
      <c r="F58" s="33">
        <v>16</v>
      </c>
      <c r="G58" s="34"/>
      <c r="H58" s="34"/>
      <c r="I58" s="37">
        <f t="shared" si="4"/>
        <v>640</v>
      </c>
      <c r="J58" s="12"/>
      <c r="K58" s="12"/>
      <c r="L58" s="12"/>
      <c r="M58" s="12"/>
      <c r="N58" s="12"/>
      <c r="O58" s="12"/>
      <c r="P58" s="12"/>
      <c r="Q58" s="12"/>
      <c r="R58" s="12"/>
    </row>
    <row r="59" spans="1:18">
      <c r="A59" s="33">
        <v>23</v>
      </c>
      <c r="B59" s="34" t="s">
        <v>457</v>
      </c>
      <c r="C59" s="33">
        <v>1</v>
      </c>
      <c r="D59" s="34"/>
      <c r="E59" s="34"/>
      <c r="F59" s="33">
        <v>12</v>
      </c>
      <c r="G59" s="33">
        <v>4</v>
      </c>
      <c r="H59" s="34"/>
      <c r="I59" s="37">
        <f t="shared" si="4"/>
        <v>645</v>
      </c>
      <c r="J59" s="12"/>
      <c r="K59" s="12"/>
      <c r="L59" s="12"/>
      <c r="M59" s="12"/>
      <c r="N59" s="12"/>
      <c r="O59" s="12"/>
      <c r="P59" s="12"/>
      <c r="Q59" s="12"/>
      <c r="R59" s="12"/>
    </row>
    <row r="60" spans="1:18">
      <c r="A60" s="33">
        <v>24</v>
      </c>
      <c r="B60" s="34" t="s">
        <v>458</v>
      </c>
      <c r="C60" s="33">
        <v>2</v>
      </c>
      <c r="D60" s="34"/>
      <c r="E60" s="33">
        <v>1</v>
      </c>
      <c r="F60" s="33">
        <v>16</v>
      </c>
      <c r="G60" s="33">
        <v>4</v>
      </c>
      <c r="H60" s="34"/>
      <c r="I60" s="37">
        <f t="shared" si="4"/>
        <v>880</v>
      </c>
      <c r="J60" s="12"/>
      <c r="K60" s="12"/>
      <c r="L60" s="12"/>
      <c r="M60" s="12"/>
      <c r="N60" s="12"/>
      <c r="O60" s="12"/>
      <c r="P60" s="12"/>
      <c r="Q60" s="12"/>
      <c r="R60" s="12"/>
    </row>
    <row r="61" spans="1:18">
      <c r="A61" s="33">
        <v>25</v>
      </c>
      <c r="B61" s="34" t="s">
        <v>459</v>
      </c>
      <c r="C61" s="34"/>
      <c r="D61" s="34"/>
      <c r="E61" s="33">
        <v>1</v>
      </c>
      <c r="F61" s="33">
        <v>20</v>
      </c>
      <c r="G61" s="34"/>
      <c r="H61" s="34"/>
      <c r="I61" s="37">
        <f t="shared" si="4"/>
        <v>850</v>
      </c>
      <c r="J61" s="12"/>
      <c r="K61" s="12"/>
      <c r="L61" s="12"/>
      <c r="M61" s="12"/>
      <c r="N61" s="12"/>
      <c r="O61" s="12"/>
      <c r="P61" s="12"/>
      <c r="Q61" s="12"/>
      <c r="R61" s="12"/>
    </row>
    <row r="62" spans="1:18">
      <c r="A62" s="12"/>
      <c r="B62" s="12"/>
      <c r="C62" s="12"/>
      <c r="D62" s="12"/>
      <c r="E62" s="12"/>
      <c r="F62" s="12"/>
      <c r="G62" s="12"/>
      <c r="H62" s="40" t="s">
        <v>37</v>
      </c>
      <c r="I62" s="44">
        <f>SUM(I47:I61)</f>
        <v>14712.5</v>
      </c>
      <c r="J62" s="12"/>
      <c r="K62" s="12"/>
      <c r="L62" s="12"/>
      <c r="M62" s="12"/>
      <c r="N62" s="12"/>
      <c r="O62" s="12"/>
      <c r="P62" s="12"/>
      <c r="Q62" s="12"/>
      <c r="R62" s="12"/>
    </row>
    <row r="63" spans="1:18">
      <c r="A63" s="12"/>
      <c r="B63" s="12"/>
      <c r="C63" s="12"/>
      <c r="D63" s="12"/>
      <c r="E63" s="12"/>
      <c r="F63" s="12"/>
      <c r="G63" s="12"/>
      <c r="H63" s="40" t="s">
        <v>38</v>
      </c>
      <c r="I63" s="44">
        <f>I44+I62</f>
        <v>34600</v>
      </c>
      <c r="J63" s="12"/>
      <c r="K63" s="12"/>
      <c r="L63" s="12"/>
      <c r="M63" s="12"/>
      <c r="N63" s="12"/>
      <c r="O63" s="12"/>
      <c r="P63" s="12"/>
      <c r="Q63" s="12"/>
      <c r="R63" s="12"/>
    </row>
  </sheetData>
  <mergeCells count="6">
    <mergeCell ref="A46:I46"/>
    <mergeCell ref="A11:D11"/>
    <mergeCell ref="A13:B13"/>
    <mergeCell ref="C13:I13"/>
    <mergeCell ref="K13:Q13"/>
    <mergeCell ref="A44:G4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AA941"/>
  <sheetViews>
    <sheetView workbookViewId="0"/>
  </sheetViews>
  <sheetFormatPr defaultColWidth="12.5703125" defaultRowHeight="15.75" customHeight="1"/>
  <cols>
    <col min="1" max="1" width="4.85546875" customWidth="1"/>
    <col min="2" max="2" width="50" customWidth="1"/>
    <col min="6" max="6" width="12" customWidth="1"/>
    <col min="11" max="11" width="30.5703125" customWidth="1"/>
    <col min="16" max="16" width="16.42578125" customWidth="1"/>
  </cols>
  <sheetData>
    <row r="1" spans="1:27" ht="12.75">
      <c r="A1" s="76" t="s">
        <v>11</v>
      </c>
      <c r="B1" s="130" t="s">
        <v>12</v>
      </c>
      <c r="C1" s="76" t="s">
        <v>3</v>
      </c>
      <c r="D1" s="76" t="s">
        <v>13</v>
      </c>
      <c r="E1" s="76" t="s">
        <v>4</v>
      </c>
    </row>
    <row r="2" spans="1:27" ht="12.75">
      <c r="A2" s="2">
        <v>1</v>
      </c>
      <c r="B2" s="310" t="s">
        <v>14</v>
      </c>
      <c r="C2" s="107">
        <v>30</v>
      </c>
      <c r="D2" s="15">
        <v>30</v>
      </c>
      <c r="E2" s="15">
        <f t="shared" ref="E2:E10" si="0">D2*C2</f>
        <v>900</v>
      </c>
    </row>
    <row r="3" spans="1:27" ht="12.75">
      <c r="A3" s="2">
        <v>2</v>
      </c>
      <c r="B3" s="310" t="s">
        <v>15</v>
      </c>
      <c r="C3" s="107">
        <v>194</v>
      </c>
      <c r="D3" s="107">
        <v>25</v>
      </c>
      <c r="E3" s="107">
        <f t="shared" si="0"/>
        <v>4850</v>
      </c>
    </row>
    <row r="4" spans="1:27" ht="12.75">
      <c r="A4" s="2">
        <v>3</v>
      </c>
      <c r="B4" s="310" t="s">
        <v>16</v>
      </c>
      <c r="C4" s="107">
        <v>30</v>
      </c>
      <c r="D4" s="107">
        <v>25</v>
      </c>
      <c r="E4" s="107">
        <f t="shared" si="0"/>
        <v>750</v>
      </c>
    </row>
    <row r="5" spans="1:27" ht="12.75">
      <c r="A5" s="2">
        <v>4</v>
      </c>
      <c r="B5" s="311" t="s">
        <v>17</v>
      </c>
      <c r="C5" s="124">
        <v>25</v>
      </c>
      <c r="D5" s="19">
        <v>50</v>
      </c>
      <c r="E5" s="19">
        <f t="shared" si="0"/>
        <v>1250</v>
      </c>
    </row>
    <row r="6" spans="1:27" ht="12.75">
      <c r="A6" s="2">
        <v>5</v>
      </c>
      <c r="B6" s="312" t="s">
        <v>18</v>
      </c>
      <c r="C6" s="110">
        <v>190</v>
      </c>
      <c r="D6" s="21">
        <v>40</v>
      </c>
      <c r="E6" s="21">
        <f t="shared" si="0"/>
        <v>7600</v>
      </c>
    </row>
    <row r="7" spans="1:27" ht="12.75">
      <c r="A7" s="2">
        <v>6</v>
      </c>
      <c r="B7" s="312" t="s">
        <v>19</v>
      </c>
      <c r="C7" s="110">
        <v>158.25</v>
      </c>
      <c r="D7" s="110">
        <v>40</v>
      </c>
      <c r="E7" s="110">
        <f t="shared" si="0"/>
        <v>6330</v>
      </c>
    </row>
    <row r="8" spans="1:27" ht="12.75">
      <c r="A8" s="2">
        <v>7</v>
      </c>
      <c r="B8" s="313" t="s">
        <v>20</v>
      </c>
      <c r="C8" s="125">
        <v>150</v>
      </c>
      <c r="D8" s="24">
        <v>35</v>
      </c>
      <c r="E8" s="24">
        <f t="shared" si="0"/>
        <v>5250</v>
      </c>
    </row>
    <row r="9" spans="1:27" ht="12.75">
      <c r="A9" s="2">
        <v>8</v>
      </c>
      <c r="B9" s="313" t="s">
        <v>20</v>
      </c>
      <c r="C9" s="125">
        <v>46</v>
      </c>
      <c r="D9" s="24">
        <v>35</v>
      </c>
      <c r="E9" s="24">
        <f t="shared" si="0"/>
        <v>1610</v>
      </c>
    </row>
    <row r="10" spans="1:27" ht="12.75">
      <c r="A10" s="2">
        <v>9</v>
      </c>
      <c r="B10" s="313" t="s">
        <v>21</v>
      </c>
      <c r="C10" s="125">
        <v>26</v>
      </c>
      <c r="D10" s="26">
        <v>25</v>
      </c>
      <c r="E10" s="24">
        <f t="shared" si="0"/>
        <v>650</v>
      </c>
    </row>
    <row r="11" spans="1:27" ht="12.75">
      <c r="A11" s="495"/>
      <c r="B11" s="475"/>
      <c r="C11" s="475"/>
      <c r="D11" s="476"/>
      <c r="E11" s="27">
        <f>SUM(E2:E10)</f>
        <v>29190</v>
      </c>
    </row>
    <row r="12" spans="1:27" ht="12.75">
      <c r="B12" s="114"/>
    </row>
    <row r="13" spans="1:27" ht="12.75">
      <c r="A13" s="479" t="s">
        <v>22</v>
      </c>
      <c r="B13" s="480"/>
      <c r="C13" s="480"/>
      <c r="D13" s="480"/>
      <c r="E13" s="480"/>
      <c r="F13" s="480"/>
      <c r="G13" s="480"/>
      <c r="H13" s="480"/>
      <c r="I13" s="478"/>
      <c r="J13" s="36" t="s">
        <v>5</v>
      </c>
      <c r="K13" s="483" t="s">
        <v>23</v>
      </c>
      <c r="L13" s="480"/>
      <c r="M13" s="480"/>
      <c r="N13" s="480"/>
      <c r="O13" s="480"/>
      <c r="P13" s="480"/>
      <c r="Q13" s="478"/>
    </row>
    <row r="14" spans="1:27" ht="25.5">
      <c r="A14" s="282" t="s">
        <v>11</v>
      </c>
      <c r="B14" s="282" t="s">
        <v>0</v>
      </c>
      <c r="C14" s="282" t="s">
        <v>24</v>
      </c>
      <c r="D14" s="282" t="s">
        <v>25</v>
      </c>
      <c r="E14" s="282" t="s">
        <v>26</v>
      </c>
      <c r="F14" s="282" t="s">
        <v>27</v>
      </c>
      <c r="G14" s="282" t="s">
        <v>28</v>
      </c>
      <c r="H14" s="282" t="s">
        <v>21</v>
      </c>
      <c r="I14" s="283" t="s">
        <v>29</v>
      </c>
      <c r="J14" s="34"/>
      <c r="K14" s="284" t="s">
        <v>24</v>
      </c>
      <c r="L14" s="284" t="s">
        <v>25</v>
      </c>
      <c r="M14" s="284" t="s">
        <v>26</v>
      </c>
      <c r="N14" s="284" t="s">
        <v>27</v>
      </c>
      <c r="O14" s="284" t="s">
        <v>28</v>
      </c>
      <c r="P14" s="284" t="s">
        <v>21</v>
      </c>
      <c r="Q14" s="285" t="s">
        <v>30</v>
      </c>
      <c r="R14" s="114"/>
      <c r="S14" s="114"/>
      <c r="T14" s="114"/>
      <c r="U14" s="114"/>
      <c r="V14" s="114"/>
      <c r="W14" s="114"/>
      <c r="X14" s="114"/>
      <c r="Y14" s="114"/>
      <c r="Z14" s="114"/>
      <c r="AA14" s="114"/>
    </row>
    <row r="15" spans="1:27" ht="12.75">
      <c r="A15" s="314" t="s">
        <v>460</v>
      </c>
      <c r="B15" s="298" t="s">
        <v>461</v>
      </c>
      <c r="C15" s="39">
        <v>39</v>
      </c>
      <c r="D15" s="39">
        <v>6</v>
      </c>
      <c r="E15" s="39">
        <v>4</v>
      </c>
      <c r="F15" s="41"/>
      <c r="G15" s="41"/>
      <c r="H15" s="34"/>
      <c r="I15" s="44">
        <f t="shared" ref="I15:I37" si="1">C15*25+D15*30+E15*50+F15*40+G15*35+H15*25</f>
        <v>1355</v>
      </c>
      <c r="J15" s="34"/>
      <c r="K15" s="38">
        <v>40</v>
      </c>
      <c r="L15" s="38">
        <v>10</v>
      </c>
      <c r="M15" s="38">
        <v>15</v>
      </c>
      <c r="N15" s="286"/>
      <c r="O15" s="286"/>
      <c r="P15" s="286"/>
      <c r="Q15" s="45">
        <f t="shared" ref="Q15:Q37" si="2">K15*25+L15*30+M15*50+N15*40+O15*35+P15*25</f>
        <v>2050</v>
      </c>
    </row>
    <row r="16" spans="1:27" ht="12.75">
      <c r="A16" s="315" t="s">
        <v>462</v>
      </c>
      <c r="B16" s="316" t="s">
        <v>463</v>
      </c>
      <c r="C16" s="16"/>
      <c r="D16" s="41"/>
      <c r="E16" s="41"/>
      <c r="F16" s="41"/>
      <c r="G16" s="39">
        <v>30</v>
      </c>
      <c r="H16" s="41"/>
      <c r="I16" s="44">
        <f t="shared" si="1"/>
        <v>1050</v>
      </c>
      <c r="J16" s="34" t="s">
        <v>41</v>
      </c>
      <c r="K16" s="317"/>
      <c r="L16" s="286"/>
      <c r="M16" s="286"/>
      <c r="N16" s="286"/>
      <c r="O16" s="38">
        <v>5</v>
      </c>
      <c r="P16" s="286"/>
      <c r="Q16" s="45">
        <f t="shared" si="2"/>
        <v>175</v>
      </c>
    </row>
    <row r="17" spans="1:17" ht="12.75">
      <c r="A17" s="315" t="s">
        <v>464</v>
      </c>
      <c r="B17" s="316" t="s">
        <v>465</v>
      </c>
      <c r="C17" s="41"/>
      <c r="D17" s="41"/>
      <c r="E17" s="41"/>
      <c r="F17" s="39">
        <v>2</v>
      </c>
      <c r="G17" s="39">
        <v>20</v>
      </c>
      <c r="H17" s="34"/>
      <c r="I17" s="44">
        <f t="shared" si="1"/>
        <v>780</v>
      </c>
      <c r="J17" s="34" t="s">
        <v>41</v>
      </c>
      <c r="K17" s="286"/>
      <c r="L17" s="286"/>
      <c r="M17" s="286"/>
      <c r="N17" s="286"/>
      <c r="O17" s="38">
        <v>14</v>
      </c>
      <c r="P17" s="286"/>
      <c r="Q17" s="45">
        <f t="shared" si="2"/>
        <v>490</v>
      </c>
    </row>
    <row r="18" spans="1:17" ht="12.75">
      <c r="A18" s="315" t="s">
        <v>466</v>
      </c>
      <c r="B18" s="318" t="s">
        <v>433</v>
      </c>
      <c r="C18" s="41"/>
      <c r="D18" s="41"/>
      <c r="E18" s="41"/>
      <c r="F18" s="41"/>
      <c r="G18" s="41"/>
      <c r="H18" s="34"/>
      <c r="I18" s="44">
        <f t="shared" si="1"/>
        <v>0</v>
      </c>
      <c r="J18" s="34" t="s">
        <v>72</v>
      </c>
      <c r="K18" s="286"/>
      <c r="L18" s="286"/>
      <c r="M18" s="286"/>
      <c r="N18" s="286"/>
      <c r="O18" s="38">
        <v>26</v>
      </c>
      <c r="P18" s="286"/>
      <c r="Q18" s="45">
        <f t="shared" si="2"/>
        <v>910</v>
      </c>
    </row>
    <row r="19" spans="1:17" ht="12.75">
      <c r="A19" s="315" t="s">
        <v>467</v>
      </c>
      <c r="B19" s="316" t="s">
        <v>434</v>
      </c>
      <c r="C19" s="41"/>
      <c r="D19" s="41"/>
      <c r="E19" s="41"/>
      <c r="F19" s="39">
        <v>6</v>
      </c>
      <c r="G19" s="39">
        <v>24</v>
      </c>
      <c r="H19" s="34"/>
      <c r="I19" s="44">
        <f t="shared" si="1"/>
        <v>1080</v>
      </c>
      <c r="J19" s="34" t="s">
        <v>41</v>
      </c>
      <c r="K19" s="286"/>
      <c r="L19" s="286"/>
      <c r="M19" s="286"/>
      <c r="N19" s="286"/>
      <c r="O19" s="38">
        <v>24</v>
      </c>
      <c r="P19" s="286"/>
      <c r="Q19" s="45">
        <f t="shared" si="2"/>
        <v>840</v>
      </c>
    </row>
    <row r="20" spans="1:17" ht="12.75">
      <c r="A20" s="319" t="s">
        <v>468</v>
      </c>
      <c r="B20" s="320" t="s">
        <v>469</v>
      </c>
      <c r="C20" s="41"/>
      <c r="D20" s="41"/>
      <c r="E20" s="41"/>
      <c r="F20" s="39">
        <v>24</v>
      </c>
      <c r="G20" s="33">
        <v>35</v>
      </c>
      <c r="H20" s="34"/>
      <c r="I20" s="44">
        <f t="shared" si="1"/>
        <v>2185</v>
      </c>
      <c r="J20" s="321" t="s">
        <v>41</v>
      </c>
      <c r="K20" s="286"/>
      <c r="L20" s="286"/>
      <c r="M20" s="286"/>
      <c r="N20" s="286"/>
      <c r="O20" s="286"/>
      <c r="P20" s="286"/>
      <c r="Q20" s="45">
        <f t="shared" si="2"/>
        <v>0</v>
      </c>
    </row>
    <row r="21" spans="1:17" ht="12.75">
      <c r="A21" s="319" t="s">
        <v>470</v>
      </c>
      <c r="B21" s="322" t="s">
        <v>471</v>
      </c>
      <c r="C21" s="41"/>
      <c r="D21" s="34"/>
      <c r="E21" s="41"/>
      <c r="F21" s="39">
        <v>36</v>
      </c>
      <c r="G21" s="39">
        <v>41</v>
      </c>
      <c r="H21" s="34"/>
      <c r="I21" s="44">
        <f t="shared" si="1"/>
        <v>2875</v>
      </c>
      <c r="J21" s="321" t="s">
        <v>41</v>
      </c>
      <c r="K21" s="286"/>
      <c r="L21" s="286"/>
      <c r="M21" s="286"/>
      <c r="N21" s="286"/>
      <c r="O21" s="286"/>
      <c r="P21" s="286"/>
      <c r="Q21" s="45">
        <f t="shared" si="2"/>
        <v>0</v>
      </c>
    </row>
    <row r="22" spans="1:17" ht="12.75">
      <c r="A22" s="314" t="s">
        <v>472</v>
      </c>
      <c r="B22" s="298" t="s">
        <v>418</v>
      </c>
      <c r="C22" s="41"/>
      <c r="D22" s="41"/>
      <c r="E22" s="41"/>
      <c r="F22" s="41"/>
      <c r="G22" s="41"/>
      <c r="H22" s="34"/>
      <c r="I22" s="44">
        <f t="shared" si="1"/>
        <v>0</v>
      </c>
      <c r="J22" s="34" t="s">
        <v>41</v>
      </c>
      <c r="K22" s="286"/>
      <c r="L22" s="286"/>
      <c r="M22" s="286"/>
      <c r="N22" s="286"/>
      <c r="O22" s="286"/>
      <c r="P22" s="286"/>
      <c r="Q22" s="45">
        <f t="shared" si="2"/>
        <v>0</v>
      </c>
    </row>
    <row r="23" spans="1:17" ht="12.75">
      <c r="A23" s="323"/>
      <c r="B23" s="316" t="s">
        <v>473</v>
      </c>
      <c r="C23" s="41"/>
      <c r="D23" s="41"/>
      <c r="E23" s="39">
        <v>2</v>
      </c>
      <c r="F23" s="39">
        <v>16</v>
      </c>
      <c r="G23" s="41"/>
      <c r="H23" s="34"/>
      <c r="I23" s="44">
        <f t="shared" si="1"/>
        <v>740</v>
      </c>
      <c r="J23" s="34" t="s">
        <v>41</v>
      </c>
      <c r="K23" s="286"/>
      <c r="L23" s="286"/>
      <c r="M23" s="286"/>
      <c r="N23" s="38">
        <v>16</v>
      </c>
      <c r="O23" s="286"/>
      <c r="P23" s="286"/>
      <c r="Q23" s="45">
        <f t="shared" si="2"/>
        <v>640</v>
      </c>
    </row>
    <row r="24" spans="1:17" ht="12.75">
      <c r="A24" s="314" t="s">
        <v>474</v>
      </c>
      <c r="B24" s="298" t="s">
        <v>437</v>
      </c>
      <c r="C24" s="39">
        <v>75</v>
      </c>
      <c r="D24" s="39">
        <v>15</v>
      </c>
      <c r="E24" s="39">
        <v>3</v>
      </c>
      <c r="F24" s="41"/>
      <c r="G24" s="41"/>
      <c r="H24" s="33">
        <v>26</v>
      </c>
      <c r="I24" s="44">
        <f t="shared" si="1"/>
        <v>3125</v>
      </c>
      <c r="J24" s="34" t="s">
        <v>41</v>
      </c>
      <c r="K24" s="38">
        <v>100</v>
      </c>
      <c r="L24" s="38">
        <v>20</v>
      </c>
      <c r="M24" s="38">
        <v>8</v>
      </c>
      <c r="N24" s="286"/>
      <c r="O24" s="286"/>
      <c r="P24" s="38">
        <v>40</v>
      </c>
      <c r="Q24" s="45">
        <f t="shared" si="2"/>
        <v>4500</v>
      </c>
    </row>
    <row r="25" spans="1:17" ht="12.75">
      <c r="A25" s="39">
        <v>4</v>
      </c>
      <c r="B25" s="298" t="s">
        <v>306</v>
      </c>
      <c r="C25" s="39">
        <v>21</v>
      </c>
      <c r="D25" s="41"/>
      <c r="E25" s="41"/>
      <c r="F25" s="41"/>
      <c r="G25" s="41"/>
      <c r="H25" s="34"/>
      <c r="I25" s="44">
        <f t="shared" si="1"/>
        <v>525</v>
      </c>
      <c r="J25" s="34" t="s">
        <v>41</v>
      </c>
      <c r="K25" s="38">
        <v>30</v>
      </c>
      <c r="L25" s="38">
        <v>5</v>
      </c>
      <c r="M25" s="286"/>
      <c r="N25" s="286"/>
      <c r="O25" s="286"/>
      <c r="P25" s="286"/>
      <c r="Q25" s="45">
        <f t="shared" si="2"/>
        <v>900</v>
      </c>
    </row>
    <row r="26" spans="1:17" ht="12.75">
      <c r="A26" s="39">
        <v>5</v>
      </c>
      <c r="B26" s="298" t="s">
        <v>475</v>
      </c>
      <c r="C26" s="324"/>
      <c r="D26" s="324"/>
      <c r="E26" s="324"/>
      <c r="F26" s="324"/>
      <c r="G26" s="324"/>
      <c r="H26" s="325"/>
      <c r="I26" s="44">
        <f t="shared" si="1"/>
        <v>0</v>
      </c>
      <c r="J26" s="34" t="s">
        <v>72</v>
      </c>
      <c r="K26" s="286"/>
      <c r="L26" s="286"/>
      <c r="M26" s="38">
        <v>5</v>
      </c>
      <c r="N26" s="38">
        <v>60</v>
      </c>
      <c r="O26" s="286"/>
      <c r="P26" s="286"/>
      <c r="Q26" s="45">
        <f t="shared" si="2"/>
        <v>2650</v>
      </c>
    </row>
    <row r="27" spans="1:17" ht="12.75">
      <c r="A27" s="39">
        <v>6</v>
      </c>
      <c r="B27" s="326" t="s">
        <v>476</v>
      </c>
      <c r="C27" s="324"/>
      <c r="D27" s="324"/>
      <c r="E27" s="324"/>
      <c r="F27" s="324"/>
      <c r="G27" s="324"/>
      <c r="H27" s="325"/>
      <c r="I27" s="327">
        <f t="shared" si="1"/>
        <v>0</v>
      </c>
      <c r="J27" s="34" t="s">
        <v>477</v>
      </c>
      <c r="K27" s="38">
        <v>1</v>
      </c>
      <c r="L27" s="286"/>
      <c r="M27" s="286"/>
      <c r="N27" s="38">
        <v>1</v>
      </c>
      <c r="O27" s="38">
        <v>1</v>
      </c>
      <c r="P27" s="286"/>
      <c r="Q27" s="45">
        <f t="shared" si="2"/>
        <v>100</v>
      </c>
    </row>
    <row r="28" spans="1:17" ht="25.5">
      <c r="A28" s="39">
        <v>7</v>
      </c>
      <c r="B28" s="328" t="s">
        <v>478</v>
      </c>
      <c r="C28" s="329">
        <v>2</v>
      </c>
      <c r="D28" s="324"/>
      <c r="E28" s="324"/>
      <c r="F28" s="324"/>
      <c r="G28" s="329">
        <v>10</v>
      </c>
      <c r="H28" s="325"/>
      <c r="I28" s="44">
        <f t="shared" si="1"/>
        <v>400</v>
      </c>
      <c r="J28" s="34" t="s">
        <v>41</v>
      </c>
      <c r="K28" s="286"/>
      <c r="L28" s="286"/>
      <c r="M28" s="286"/>
      <c r="N28" s="286"/>
      <c r="O28" s="286"/>
      <c r="P28" s="286"/>
      <c r="Q28" s="45">
        <f t="shared" si="2"/>
        <v>0</v>
      </c>
    </row>
    <row r="29" spans="1:17" ht="25.5">
      <c r="A29" s="39">
        <v>8</v>
      </c>
      <c r="B29" s="298" t="s">
        <v>479</v>
      </c>
      <c r="C29" s="39">
        <v>16</v>
      </c>
      <c r="D29" s="39">
        <v>4</v>
      </c>
      <c r="E29" s="39">
        <v>6</v>
      </c>
      <c r="F29" s="39">
        <v>35</v>
      </c>
      <c r="G29" s="41"/>
      <c r="H29" s="34"/>
      <c r="I29" s="44">
        <f t="shared" si="1"/>
        <v>2220</v>
      </c>
      <c r="J29" s="34" t="s">
        <v>41</v>
      </c>
      <c r="K29" s="38">
        <v>16</v>
      </c>
      <c r="L29" s="38">
        <v>5</v>
      </c>
      <c r="M29" s="38">
        <v>5</v>
      </c>
      <c r="N29" s="38">
        <v>40</v>
      </c>
      <c r="O29" s="38">
        <v>12</v>
      </c>
      <c r="P29" s="38">
        <v>8</v>
      </c>
      <c r="Q29" s="45">
        <f t="shared" si="2"/>
        <v>3020</v>
      </c>
    </row>
    <row r="30" spans="1:17" ht="12.75">
      <c r="A30" s="39">
        <v>9</v>
      </c>
      <c r="B30" s="298" t="s">
        <v>480</v>
      </c>
      <c r="C30" s="39">
        <v>15</v>
      </c>
      <c r="D30" s="41"/>
      <c r="E30" s="41"/>
      <c r="F30" s="39">
        <v>15</v>
      </c>
      <c r="G30" s="39">
        <v>2</v>
      </c>
      <c r="H30" s="34"/>
      <c r="I30" s="44">
        <f t="shared" si="1"/>
        <v>1045</v>
      </c>
      <c r="J30" s="34" t="s">
        <v>41</v>
      </c>
      <c r="K30" s="38">
        <v>8</v>
      </c>
      <c r="L30" s="286"/>
      <c r="M30" s="286"/>
      <c r="N30" s="38">
        <v>16</v>
      </c>
      <c r="O30" s="38">
        <v>8</v>
      </c>
      <c r="P30" s="286"/>
      <c r="Q30" s="45">
        <f t="shared" si="2"/>
        <v>1120</v>
      </c>
    </row>
    <row r="31" spans="1:17" ht="12.75">
      <c r="A31" s="39">
        <v>10</v>
      </c>
      <c r="B31" s="330" t="s">
        <v>481</v>
      </c>
      <c r="C31" s="39">
        <v>8</v>
      </c>
      <c r="D31" s="41"/>
      <c r="E31" s="39">
        <v>2</v>
      </c>
      <c r="F31" s="39">
        <v>32</v>
      </c>
      <c r="G31" s="39">
        <v>4</v>
      </c>
      <c r="H31" s="34"/>
      <c r="I31" s="44">
        <f t="shared" si="1"/>
        <v>1720</v>
      </c>
      <c r="J31" s="34" t="s">
        <v>41</v>
      </c>
      <c r="K31" s="38">
        <v>8</v>
      </c>
      <c r="L31" s="286"/>
      <c r="M31" s="286"/>
      <c r="N31" s="38">
        <v>40</v>
      </c>
      <c r="O31" s="38">
        <v>8</v>
      </c>
      <c r="P31" s="286"/>
      <c r="Q31" s="45">
        <f t="shared" si="2"/>
        <v>2080</v>
      </c>
    </row>
    <row r="32" spans="1:17" ht="12.75">
      <c r="A32" s="39">
        <v>11</v>
      </c>
      <c r="B32" s="298" t="s">
        <v>482</v>
      </c>
      <c r="C32" s="39">
        <v>5</v>
      </c>
      <c r="D32" s="41"/>
      <c r="E32" s="41"/>
      <c r="F32" s="39">
        <v>11.5</v>
      </c>
      <c r="G32" s="39">
        <v>7</v>
      </c>
      <c r="H32" s="34"/>
      <c r="I32" s="44">
        <f t="shared" si="1"/>
        <v>830</v>
      </c>
      <c r="J32" s="34" t="s">
        <v>41</v>
      </c>
      <c r="K32" s="38">
        <v>6</v>
      </c>
      <c r="L32" s="286"/>
      <c r="M32" s="286"/>
      <c r="N32" s="38">
        <v>6</v>
      </c>
      <c r="O32" s="38">
        <v>6</v>
      </c>
      <c r="P32" s="286"/>
      <c r="Q32" s="45">
        <f t="shared" si="2"/>
        <v>600</v>
      </c>
    </row>
    <row r="33" spans="1:17" ht="25.5">
      <c r="A33" s="39">
        <v>12</v>
      </c>
      <c r="B33" s="298" t="s">
        <v>483</v>
      </c>
      <c r="C33" s="39">
        <v>4</v>
      </c>
      <c r="D33" s="41"/>
      <c r="E33" s="41"/>
      <c r="F33" s="39">
        <v>10.75</v>
      </c>
      <c r="G33" s="41"/>
      <c r="H33" s="41"/>
      <c r="I33" s="44">
        <f t="shared" si="1"/>
        <v>530</v>
      </c>
      <c r="J33" s="34" t="s">
        <v>41</v>
      </c>
      <c r="K33" s="38">
        <v>4</v>
      </c>
      <c r="L33" s="286"/>
      <c r="M33" s="286"/>
      <c r="N33" s="38">
        <v>16</v>
      </c>
      <c r="O33" s="286"/>
      <c r="P33" s="286"/>
      <c r="Q33" s="45">
        <f t="shared" si="2"/>
        <v>740</v>
      </c>
    </row>
    <row r="34" spans="1:17" ht="12.75">
      <c r="A34" s="39">
        <v>13</v>
      </c>
      <c r="B34" s="331" t="s">
        <v>484</v>
      </c>
      <c r="C34" s="39">
        <v>3</v>
      </c>
      <c r="D34" s="41"/>
      <c r="E34" s="41"/>
      <c r="F34" s="39">
        <v>7</v>
      </c>
      <c r="G34" s="41"/>
      <c r="H34" s="41"/>
      <c r="I34" s="44">
        <f t="shared" si="1"/>
        <v>355</v>
      </c>
      <c r="J34" s="34" t="s">
        <v>41</v>
      </c>
      <c r="K34" s="38">
        <v>4</v>
      </c>
      <c r="L34" s="286"/>
      <c r="M34" s="286"/>
      <c r="N34" s="38">
        <v>12</v>
      </c>
      <c r="O34" s="286"/>
      <c r="P34" s="286"/>
      <c r="Q34" s="45">
        <f t="shared" si="2"/>
        <v>580</v>
      </c>
    </row>
    <row r="35" spans="1:17" ht="12.75">
      <c r="A35" s="33">
        <v>14</v>
      </c>
      <c r="B35" s="42" t="s">
        <v>485</v>
      </c>
      <c r="C35" s="34"/>
      <c r="D35" s="34"/>
      <c r="E35" s="33">
        <v>5</v>
      </c>
      <c r="F35" s="33">
        <v>8</v>
      </c>
      <c r="G35" s="34"/>
      <c r="H35" s="34"/>
      <c r="I35" s="44">
        <f t="shared" si="1"/>
        <v>570</v>
      </c>
      <c r="J35" s="34" t="s">
        <v>41</v>
      </c>
      <c r="K35" s="286"/>
      <c r="L35" s="286"/>
      <c r="M35" s="38">
        <v>4</v>
      </c>
      <c r="N35" s="38">
        <v>20</v>
      </c>
      <c r="O35" s="286"/>
      <c r="P35" s="286"/>
      <c r="Q35" s="45">
        <f t="shared" si="2"/>
        <v>1000</v>
      </c>
    </row>
    <row r="36" spans="1:17" ht="12.75">
      <c r="A36" s="33">
        <v>15</v>
      </c>
      <c r="B36" s="332" t="s">
        <v>486</v>
      </c>
      <c r="C36" s="33">
        <v>1</v>
      </c>
      <c r="D36" s="34"/>
      <c r="E36" s="34"/>
      <c r="F36" s="33">
        <v>7</v>
      </c>
      <c r="G36" s="34"/>
      <c r="H36" s="34"/>
      <c r="I36" s="44">
        <f t="shared" si="1"/>
        <v>305</v>
      </c>
      <c r="J36" s="34" t="s">
        <v>41</v>
      </c>
      <c r="K36" s="38">
        <v>1</v>
      </c>
      <c r="L36" s="286"/>
      <c r="M36" s="286"/>
      <c r="N36" s="38">
        <v>2</v>
      </c>
      <c r="O36" s="38">
        <v>4</v>
      </c>
      <c r="P36" s="286"/>
      <c r="Q36" s="45">
        <f t="shared" si="2"/>
        <v>245</v>
      </c>
    </row>
    <row r="37" spans="1:17" ht="25.5">
      <c r="A37" s="33">
        <v>16</v>
      </c>
      <c r="B37" s="42" t="s">
        <v>487</v>
      </c>
      <c r="C37" s="33">
        <v>3</v>
      </c>
      <c r="D37" s="34"/>
      <c r="E37" s="34"/>
      <c r="F37" s="33">
        <v>6</v>
      </c>
      <c r="G37" s="34"/>
      <c r="H37" s="34"/>
      <c r="I37" s="44">
        <f t="shared" si="1"/>
        <v>315</v>
      </c>
      <c r="J37" s="34" t="s">
        <v>41</v>
      </c>
      <c r="K37" s="38">
        <v>4</v>
      </c>
      <c r="L37" s="286"/>
      <c r="M37" s="286"/>
      <c r="N37" s="38">
        <v>1</v>
      </c>
      <c r="O37" s="38">
        <v>3</v>
      </c>
      <c r="P37" s="286"/>
      <c r="Q37" s="45">
        <f t="shared" si="2"/>
        <v>245</v>
      </c>
    </row>
    <row r="38" spans="1:17" ht="12.75">
      <c r="A38" s="493"/>
      <c r="B38" s="480"/>
      <c r="C38" s="480"/>
      <c r="D38" s="480"/>
      <c r="E38" s="480"/>
      <c r="F38" s="480"/>
      <c r="G38" s="480"/>
      <c r="H38" s="302" t="s">
        <v>37</v>
      </c>
      <c r="I38" s="44">
        <f>SUM(I15:I37)</f>
        <v>22005</v>
      </c>
      <c r="J38" s="12"/>
      <c r="K38" s="286"/>
      <c r="L38" s="286"/>
      <c r="M38" s="286"/>
      <c r="N38" s="286"/>
      <c r="O38" s="286"/>
      <c r="P38" s="303" t="s">
        <v>37</v>
      </c>
      <c r="Q38" s="45">
        <f>SUM(Q15:Q37)</f>
        <v>22885</v>
      </c>
    </row>
    <row r="39" spans="1:17" ht="32.25" customHeight="1">
      <c r="A39" s="12"/>
      <c r="B39" s="333"/>
      <c r="C39" s="12"/>
      <c r="D39" s="12"/>
      <c r="E39" s="12"/>
      <c r="F39" s="12"/>
      <c r="G39" s="12"/>
      <c r="H39" s="12"/>
      <c r="I39" s="12"/>
      <c r="J39" s="12"/>
      <c r="K39" s="12"/>
      <c r="L39" s="12"/>
      <c r="M39" s="12"/>
      <c r="N39" s="12"/>
      <c r="O39" s="12"/>
      <c r="P39" s="284" t="s">
        <v>444</v>
      </c>
      <c r="Q39" s="45">
        <f>SUM(Q15:Q25)+SUM(Q27:Q37)-Q18</f>
        <v>19325</v>
      </c>
    </row>
    <row r="40" spans="1:17" ht="12.75">
      <c r="A40" s="479" t="s">
        <v>343</v>
      </c>
      <c r="B40" s="480"/>
      <c r="C40" s="480"/>
      <c r="D40" s="480"/>
      <c r="E40" s="480"/>
      <c r="F40" s="480"/>
      <c r="G40" s="480"/>
      <c r="H40" s="480"/>
      <c r="I40" s="478"/>
      <c r="J40" s="12"/>
      <c r="K40" s="12"/>
      <c r="L40" s="12"/>
      <c r="M40" s="12"/>
      <c r="N40" s="12"/>
      <c r="O40" s="12"/>
      <c r="P40" s="12"/>
      <c r="Q40" s="12"/>
    </row>
    <row r="41" spans="1:17" ht="12.75">
      <c r="A41" s="334">
        <v>17</v>
      </c>
      <c r="B41" s="335" t="s">
        <v>488</v>
      </c>
      <c r="C41" s="336"/>
      <c r="D41" s="33">
        <v>1</v>
      </c>
      <c r="E41" s="33">
        <v>2</v>
      </c>
      <c r="F41" s="33">
        <v>2</v>
      </c>
      <c r="G41" s="34"/>
      <c r="H41" s="34"/>
      <c r="I41" s="37">
        <f t="shared" ref="I41:I57" si="3">C41*25+D41*30+E41*50+F41*40+G41*35+H41*25</f>
        <v>210</v>
      </c>
      <c r="J41" s="12"/>
      <c r="K41" s="12"/>
      <c r="L41" s="12"/>
      <c r="M41" s="12"/>
      <c r="N41" s="12"/>
      <c r="O41" s="12"/>
      <c r="P41" s="12"/>
      <c r="Q41" s="12"/>
    </row>
    <row r="42" spans="1:17" ht="25.5">
      <c r="A42" s="334">
        <v>18</v>
      </c>
      <c r="B42" s="335" t="s">
        <v>489</v>
      </c>
      <c r="C42" s="337">
        <v>4</v>
      </c>
      <c r="D42" s="34"/>
      <c r="E42" s="33">
        <v>1</v>
      </c>
      <c r="F42" s="33">
        <v>16</v>
      </c>
      <c r="G42" s="34"/>
      <c r="H42" s="34"/>
      <c r="I42" s="37">
        <f t="shared" si="3"/>
        <v>790</v>
      </c>
      <c r="J42" s="12"/>
      <c r="K42" s="12"/>
      <c r="L42" s="12"/>
      <c r="M42" s="12"/>
      <c r="N42" s="12"/>
      <c r="O42" s="12"/>
      <c r="P42" s="12"/>
      <c r="Q42" s="12"/>
    </row>
    <row r="43" spans="1:17" ht="12.75">
      <c r="A43" s="334">
        <v>19</v>
      </c>
      <c r="B43" s="335" t="s">
        <v>490</v>
      </c>
      <c r="C43" s="337">
        <v>8</v>
      </c>
      <c r="D43" s="33">
        <v>4</v>
      </c>
      <c r="E43" s="34"/>
      <c r="F43" s="33">
        <v>8</v>
      </c>
      <c r="G43" s="33">
        <v>6</v>
      </c>
      <c r="H43" s="34"/>
      <c r="I43" s="37">
        <f t="shared" si="3"/>
        <v>850</v>
      </c>
      <c r="J43" s="12"/>
      <c r="K43" s="12"/>
      <c r="L43" s="12"/>
      <c r="M43" s="12"/>
      <c r="N43" s="12"/>
      <c r="O43" s="12"/>
      <c r="P43" s="12"/>
      <c r="Q43" s="12"/>
    </row>
    <row r="44" spans="1:17" ht="25.5">
      <c r="A44" s="334">
        <v>20</v>
      </c>
      <c r="B44" s="338" t="s">
        <v>491</v>
      </c>
      <c r="C44" s="337">
        <v>1</v>
      </c>
      <c r="D44" s="34"/>
      <c r="E44" s="34"/>
      <c r="F44" s="34"/>
      <c r="G44" s="33">
        <v>2</v>
      </c>
      <c r="H44" s="34"/>
      <c r="I44" s="37">
        <f t="shared" si="3"/>
        <v>95</v>
      </c>
      <c r="J44" s="12"/>
      <c r="K44" s="12"/>
      <c r="L44" s="12"/>
      <c r="M44" s="12"/>
      <c r="N44" s="12"/>
      <c r="O44" s="12"/>
      <c r="P44" s="12"/>
      <c r="Q44" s="12"/>
    </row>
    <row r="45" spans="1:17" ht="38.25">
      <c r="A45" s="334">
        <v>21</v>
      </c>
      <c r="B45" s="338" t="s">
        <v>492</v>
      </c>
      <c r="C45" s="337">
        <v>1</v>
      </c>
      <c r="D45" s="34"/>
      <c r="E45" s="34"/>
      <c r="F45" s="34"/>
      <c r="G45" s="33">
        <v>4</v>
      </c>
      <c r="H45" s="34"/>
      <c r="I45" s="37">
        <f t="shared" si="3"/>
        <v>165</v>
      </c>
      <c r="J45" s="12"/>
      <c r="K45" s="12"/>
      <c r="L45" s="12"/>
      <c r="M45" s="12"/>
      <c r="N45" s="12"/>
      <c r="O45" s="12"/>
      <c r="P45" s="12"/>
      <c r="Q45" s="12"/>
    </row>
    <row r="46" spans="1:17" ht="12.75">
      <c r="A46" s="334">
        <v>22</v>
      </c>
      <c r="B46" s="335" t="s">
        <v>493</v>
      </c>
      <c r="C46" s="336"/>
      <c r="D46" s="34"/>
      <c r="E46" s="34"/>
      <c r="F46" s="33">
        <v>2.5</v>
      </c>
      <c r="G46" s="34"/>
      <c r="H46" s="34"/>
      <c r="I46" s="37">
        <f t="shared" si="3"/>
        <v>100</v>
      </c>
      <c r="J46" s="12"/>
      <c r="K46" s="12"/>
      <c r="L46" s="12"/>
      <c r="M46" s="12"/>
      <c r="N46" s="12"/>
      <c r="O46" s="12"/>
      <c r="P46" s="12"/>
      <c r="Q46" s="12"/>
    </row>
    <row r="47" spans="1:17" ht="76.5">
      <c r="A47" s="334">
        <v>23</v>
      </c>
      <c r="B47" s="335" t="s">
        <v>494</v>
      </c>
      <c r="C47" s="337">
        <v>8</v>
      </c>
      <c r="D47" s="34"/>
      <c r="E47" s="34"/>
      <c r="F47" s="33">
        <v>15</v>
      </c>
      <c r="G47" s="34"/>
      <c r="H47" s="34"/>
      <c r="I47" s="37">
        <f t="shared" si="3"/>
        <v>800</v>
      </c>
      <c r="J47" s="12"/>
      <c r="K47" s="12"/>
      <c r="L47" s="12"/>
      <c r="M47" s="12"/>
      <c r="N47" s="12"/>
      <c r="O47" s="12"/>
      <c r="P47" s="12"/>
      <c r="Q47" s="12"/>
    </row>
    <row r="48" spans="1:17" ht="38.25">
      <c r="A48" s="334">
        <v>24</v>
      </c>
      <c r="B48" s="335" t="s">
        <v>495</v>
      </c>
      <c r="C48" s="336"/>
      <c r="D48" s="34"/>
      <c r="E48" s="34"/>
      <c r="F48" s="33">
        <v>5</v>
      </c>
      <c r="G48" s="34"/>
      <c r="H48" s="34"/>
      <c r="I48" s="37">
        <f t="shared" si="3"/>
        <v>200</v>
      </c>
      <c r="J48" s="12"/>
      <c r="K48" s="12"/>
      <c r="L48" s="12"/>
      <c r="M48" s="12"/>
      <c r="N48" s="12"/>
      <c r="O48" s="12"/>
      <c r="P48" s="12"/>
      <c r="Q48" s="12"/>
    </row>
    <row r="49" spans="1:17" ht="38.25">
      <c r="A49" s="334">
        <v>25</v>
      </c>
      <c r="B49" s="335" t="s">
        <v>496</v>
      </c>
      <c r="C49" s="336"/>
      <c r="D49" s="34"/>
      <c r="E49" s="34"/>
      <c r="F49" s="33">
        <v>10</v>
      </c>
      <c r="G49" s="34"/>
      <c r="H49" s="34"/>
      <c r="I49" s="37">
        <f t="shared" si="3"/>
        <v>400</v>
      </c>
      <c r="J49" s="12"/>
      <c r="K49" s="12"/>
      <c r="L49" s="12"/>
      <c r="M49" s="12"/>
      <c r="N49" s="12"/>
      <c r="O49" s="12"/>
      <c r="P49" s="12"/>
      <c r="Q49" s="12"/>
    </row>
    <row r="50" spans="1:17" ht="25.5">
      <c r="A50" s="334">
        <v>26</v>
      </c>
      <c r="B50" s="338" t="s">
        <v>497</v>
      </c>
      <c r="C50" s="336"/>
      <c r="D50" s="34"/>
      <c r="E50" s="34"/>
      <c r="F50" s="34"/>
      <c r="G50" s="33">
        <v>5</v>
      </c>
      <c r="H50" s="34"/>
      <c r="I50" s="37">
        <f t="shared" si="3"/>
        <v>175</v>
      </c>
      <c r="J50" s="12"/>
      <c r="K50" s="12"/>
      <c r="L50" s="12"/>
      <c r="M50" s="12"/>
      <c r="N50" s="12"/>
      <c r="O50" s="12"/>
      <c r="P50" s="12"/>
      <c r="Q50" s="12"/>
    </row>
    <row r="51" spans="1:17" ht="12.75">
      <c r="A51" s="334">
        <v>27</v>
      </c>
      <c r="B51" s="335" t="s">
        <v>498</v>
      </c>
      <c r="C51" s="336"/>
      <c r="D51" s="34"/>
      <c r="E51" s="34"/>
      <c r="F51" s="34"/>
      <c r="G51" s="33">
        <v>1</v>
      </c>
      <c r="H51" s="34"/>
      <c r="I51" s="37">
        <f t="shared" si="3"/>
        <v>35</v>
      </c>
      <c r="J51" s="12"/>
      <c r="K51" s="12"/>
      <c r="L51" s="12"/>
      <c r="M51" s="12"/>
      <c r="N51" s="12"/>
      <c r="O51" s="12"/>
      <c r="P51" s="12"/>
      <c r="Q51" s="12"/>
    </row>
    <row r="52" spans="1:17" ht="51">
      <c r="A52" s="334">
        <v>28</v>
      </c>
      <c r="B52" s="335" t="s">
        <v>499</v>
      </c>
      <c r="C52" s="336"/>
      <c r="D52" s="34"/>
      <c r="E52" s="34"/>
      <c r="F52" s="33">
        <v>12</v>
      </c>
      <c r="G52" s="34"/>
      <c r="H52" s="34"/>
      <c r="I52" s="37">
        <f t="shared" si="3"/>
        <v>480</v>
      </c>
      <c r="J52" s="12"/>
      <c r="K52" s="12"/>
      <c r="L52" s="12"/>
      <c r="M52" s="12"/>
      <c r="N52" s="12"/>
      <c r="O52" s="12"/>
      <c r="P52" s="12"/>
      <c r="Q52" s="12"/>
    </row>
    <row r="53" spans="1:17" ht="25.5">
      <c r="A53" s="334">
        <v>29</v>
      </c>
      <c r="B53" s="338" t="s">
        <v>500</v>
      </c>
      <c r="C53" s="336"/>
      <c r="D53" s="34"/>
      <c r="E53" s="34"/>
      <c r="F53" s="33">
        <v>12</v>
      </c>
      <c r="G53" s="34"/>
      <c r="H53" s="34"/>
      <c r="I53" s="37">
        <f t="shared" si="3"/>
        <v>480</v>
      </c>
      <c r="J53" s="12"/>
      <c r="K53" s="12"/>
      <c r="L53" s="12"/>
      <c r="M53" s="12"/>
      <c r="N53" s="12"/>
      <c r="O53" s="12"/>
      <c r="P53" s="12"/>
      <c r="Q53" s="12"/>
    </row>
    <row r="54" spans="1:17" ht="89.25">
      <c r="A54" s="334">
        <v>30</v>
      </c>
      <c r="B54" s="338" t="s">
        <v>501</v>
      </c>
      <c r="C54" s="336"/>
      <c r="D54" s="34"/>
      <c r="E54" s="34"/>
      <c r="F54" s="33">
        <v>12.5</v>
      </c>
      <c r="G54" s="34"/>
      <c r="H54" s="34"/>
      <c r="I54" s="37">
        <f t="shared" si="3"/>
        <v>500</v>
      </c>
      <c r="J54" s="12"/>
      <c r="K54" s="12"/>
      <c r="L54" s="12"/>
      <c r="M54" s="12"/>
      <c r="N54" s="12"/>
      <c r="O54" s="12"/>
      <c r="P54" s="12"/>
      <c r="Q54" s="12"/>
    </row>
    <row r="55" spans="1:17" ht="12.75">
      <c r="A55" s="334">
        <v>31</v>
      </c>
      <c r="B55" s="335" t="s">
        <v>502</v>
      </c>
      <c r="C55" s="336"/>
      <c r="D55" s="34"/>
      <c r="E55" s="34"/>
      <c r="F55" s="33">
        <v>5</v>
      </c>
      <c r="G55" s="34"/>
      <c r="H55" s="34"/>
      <c r="I55" s="37">
        <f t="shared" si="3"/>
        <v>200</v>
      </c>
      <c r="J55" s="12"/>
      <c r="K55" s="12"/>
      <c r="L55" s="12"/>
      <c r="M55" s="12"/>
      <c r="N55" s="12"/>
      <c r="O55" s="12"/>
      <c r="P55" s="12"/>
      <c r="Q55" s="12"/>
    </row>
    <row r="56" spans="1:17" ht="114.75">
      <c r="A56" s="334">
        <v>32</v>
      </c>
      <c r="B56" s="338" t="s">
        <v>503</v>
      </c>
      <c r="C56" s="337">
        <v>5</v>
      </c>
      <c r="D56" s="34"/>
      <c r="E56" s="34"/>
      <c r="F56" s="33">
        <v>16</v>
      </c>
      <c r="G56" s="33">
        <v>4</v>
      </c>
      <c r="H56" s="34"/>
      <c r="I56" s="37">
        <f t="shared" si="3"/>
        <v>905</v>
      </c>
      <c r="J56" s="12"/>
      <c r="K56" s="12"/>
      <c r="L56" s="12"/>
      <c r="M56" s="12"/>
      <c r="N56" s="12"/>
      <c r="O56" s="12"/>
      <c r="P56" s="12"/>
      <c r="Q56" s="12"/>
    </row>
    <row r="57" spans="1:17" ht="114.75">
      <c r="A57" s="334">
        <v>33</v>
      </c>
      <c r="B57" s="335" t="s">
        <v>504</v>
      </c>
      <c r="C57" s="337">
        <v>5</v>
      </c>
      <c r="D57" s="34"/>
      <c r="E57" s="34"/>
      <c r="F57" s="33">
        <v>16</v>
      </c>
      <c r="G57" s="33">
        <v>1</v>
      </c>
      <c r="H57" s="34"/>
      <c r="I57" s="37">
        <f t="shared" si="3"/>
        <v>800</v>
      </c>
      <c r="J57" s="12"/>
      <c r="K57" s="12"/>
      <c r="L57" s="12"/>
      <c r="M57" s="12"/>
      <c r="N57" s="12"/>
      <c r="O57" s="12"/>
      <c r="P57" s="12"/>
      <c r="Q57" s="12"/>
    </row>
    <row r="58" spans="1:17" ht="12.75">
      <c r="A58" s="12"/>
      <c r="B58" s="333"/>
      <c r="C58" s="12"/>
      <c r="D58" s="12"/>
      <c r="E58" s="12"/>
      <c r="F58" s="12"/>
      <c r="G58" s="12"/>
      <c r="H58" s="40" t="s">
        <v>37</v>
      </c>
      <c r="I58" s="44">
        <f>SUM(I41:I57)</f>
        <v>7185</v>
      </c>
      <c r="J58" s="12"/>
      <c r="K58" s="12"/>
      <c r="L58" s="12"/>
      <c r="M58" s="12"/>
      <c r="N58" s="12"/>
      <c r="O58" s="12"/>
      <c r="P58" s="12"/>
      <c r="Q58" s="12"/>
    </row>
    <row r="59" spans="1:17" ht="12.75">
      <c r="A59" s="12"/>
      <c r="B59" s="333"/>
      <c r="C59" s="12"/>
      <c r="D59" s="12"/>
      <c r="E59" s="12"/>
      <c r="F59" s="12"/>
      <c r="G59" s="12"/>
      <c r="H59" s="40" t="s">
        <v>38</v>
      </c>
      <c r="I59" s="44">
        <f>I38+I58</f>
        <v>29190</v>
      </c>
      <c r="J59" s="12"/>
      <c r="K59" s="12"/>
      <c r="L59" s="12"/>
      <c r="M59" s="12"/>
      <c r="N59" s="12"/>
      <c r="O59" s="12"/>
      <c r="P59" s="12"/>
      <c r="Q59" s="12"/>
    </row>
    <row r="60" spans="1:17" ht="12.75">
      <c r="B60" s="114"/>
    </row>
    <row r="61" spans="1:17" ht="12.75">
      <c r="B61" s="114"/>
    </row>
    <row r="62" spans="1:17" ht="12.75">
      <c r="B62" s="114"/>
    </row>
    <row r="63" spans="1:17" ht="12.75">
      <c r="B63" s="114"/>
    </row>
    <row r="64" spans="1:17" ht="12.75">
      <c r="B64" s="114"/>
    </row>
    <row r="65" spans="2:2" ht="12.75">
      <c r="B65" s="114"/>
    </row>
    <row r="66" spans="2:2" ht="12.75">
      <c r="B66" s="114"/>
    </row>
    <row r="67" spans="2:2" ht="12.75">
      <c r="B67" s="114"/>
    </row>
    <row r="68" spans="2:2" ht="12.75">
      <c r="B68" s="114"/>
    </row>
    <row r="69" spans="2:2" ht="12.75">
      <c r="B69" s="114"/>
    </row>
    <row r="70" spans="2:2" ht="12.75">
      <c r="B70" s="114"/>
    </row>
    <row r="71" spans="2:2" ht="12.75">
      <c r="B71" s="114"/>
    </row>
    <row r="72" spans="2:2" ht="12.75">
      <c r="B72" s="114"/>
    </row>
    <row r="73" spans="2:2" ht="12.75">
      <c r="B73" s="114"/>
    </row>
    <row r="74" spans="2:2" ht="12.75">
      <c r="B74" s="114"/>
    </row>
    <row r="75" spans="2:2" ht="12.75">
      <c r="B75" s="114"/>
    </row>
    <row r="76" spans="2:2" ht="12.75">
      <c r="B76" s="114"/>
    </row>
    <row r="77" spans="2:2" ht="12.75">
      <c r="B77" s="114"/>
    </row>
    <row r="78" spans="2:2" ht="12.75">
      <c r="B78" s="114"/>
    </row>
    <row r="79" spans="2:2" ht="12.75">
      <c r="B79" s="114"/>
    </row>
    <row r="80" spans="2:2" ht="12.75">
      <c r="B80" s="114"/>
    </row>
    <row r="81" spans="2:2" ht="12.75">
      <c r="B81" s="114"/>
    </row>
    <row r="82" spans="2:2" ht="12.75">
      <c r="B82" s="114"/>
    </row>
    <row r="83" spans="2:2" ht="12.75">
      <c r="B83" s="114"/>
    </row>
    <row r="84" spans="2:2" ht="12.75">
      <c r="B84" s="114"/>
    </row>
    <row r="85" spans="2:2" ht="12.75">
      <c r="B85" s="114"/>
    </row>
    <row r="86" spans="2:2" ht="12.75">
      <c r="B86" s="114"/>
    </row>
    <row r="87" spans="2:2" ht="12.75">
      <c r="B87" s="114"/>
    </row>
    <row r="88" spans="2:2" ht="12.75">
      <c r="B88" s="114"/>
    </row>
    <row r="89" spans="2:2" ht="12.75">
      <c r="B89" s="114"/>
    </row>
    <row r="90" spans="2:2" ht="12.75">
      <c r="B90" s="114"/>
    </row>
    <row r="91" spans="2:2" ht="12.75">
      <c r="B91" s="114"/>
    </row>
    <row r="92" spans="2:2" ht="12.75">
      <c r="B92" s="114"/>
    </row>
    <row r="93" spans="2:2" ht="12.75">
      <c r="B93" s="114"/>
    </row>
    <row r="94" spans="2:2" ht="12.75">
      <c r="B94" s="114"/>
    </row>
    <row r="95" spans="2:2" ht="12.75">
      <c r="B95" s="114"/>
    </row>
    <row r="96" spans="2:2" ht="12.75">
      <c r="B96" s="114"/>
    </row>
    <row r="97" spans="2:2" ht="12.75">
      <c r="B97" s="114"/>
    </row>
    <row r="98" spans="2:2" ht="12.75">
      <c r="B98" s="114"/>
    </row>
    <row r="99" spans="2:2" ht="12.75">
      <c r="B99" s="114"/>
    </row>
    <row r="100" spans="2:2" ht="12.75">
      <c r="B100" s="114"/>
    </row>
    <row r="101" spans="2:2" ht="12.75">
      <c r="B101" s="114"/>
    </row>
    <row r="102" spans="2:2" ht="12.75">
      <c r="B102" s="114"/>
    </row>
    <row r="103" spans="2:2" ht="12.75">
      <c r="B103" s="114"/>
    </row>
    <row r="104" spans="2:2" ht="12.75">
      <c r="B104" s="114"/>
    </row>
    <row r="105" spans="2:2" ht="12.75">
      <c r="B105" s="114"/>
    </row>
    <row r="106" spans="2:2" ht="12.75">
      <c r="B106" s="114"/>
    </row>
    <row r="107" spans="2:2" ht="12.75">
      <c r="B107" s="114"/>
    </row>
    <row r="108" spans="2:2" ht="12.75">
      <c r="B108" s="114"/>
    </row>
    <row r="109" spans="2:2" ht="12.75">
      <c r="B109" s="114"/>
    </row>
    <row r="110" spans="2:2" ht="12.75">
      <c r="B110" s="114"/>
    </row>
    <row r="111" spans="2:2" ht="12.75">
      <c r="B111" s="114"/>
    </row>
    <row r="112" spans="2:2" ht="12.75">
      <c r="B112" s="114"/>
    </row>
    <row r="113" spans="2:2" ht="12.75">
      <c r="B113" s="114"/>
    </row>
    <row r="114" spans="2:2" ht="12.75">
      <c r="B114" s="114"/>
    </row>
    <row r="115" spans="2:2" ht="12.75">
      <c r="B115" s="114"/>
    </row>
    <row r="116" spans="2:2" ht="12.75">
      <c r="B116" s="114"/>
    </row>
    <row r="117" spans="2:2" ht="12.75">
      <c r="B117" s="114"/>
    </row>
    <row r="118" spans="2:2" ht="12.75">
      <c r="B118" s="114"/>
    </row>
    <row r="119" spans="2:2" ht="12.75">
      <c r="B119" s="114"/>
    </row>
    <row r="120" spans="2:2" ht="12.75">
      <c r="B120" s="114"/>
    </row>
    <row r="121" spans="2:2" ht="12.75">
      <c r="B121" s="114"/>
    </row>
    <row r="122" spans="2:2" ht="12.75">
      <c r="B122" s="114"/>
    </row>
    <row r="123" spans="2:2" ht="12.75">
      <c r="B123" s="114"/>
    </row>
    <row r="124" spans="2:2" ht="12.75">
      <c r="B124" s="114"/>
    </row>
    <row r="125" spans="2:2" ht="12.75">
      <c r="B125" s="114"/>
    </row>
    <row r="126" spans="2:2" ht="12.75">
      <c r="B126" s="114"/>
    </row>
    <row r="127" spans="2:2" ht="12.75">
      <c r="B127" s="114"/>
    </row>
    <row r="128" spans="2:2" ht="12.75">
      <c r="B128" s="114"/>
    </row>
    <row r="129" spans="2:2" ht="12.75">
      <c r="B129" s="114"/>
    </row>
    <row r="130" spans="2:2" ht="12.75">
      <c r="B130" s="114"/>
    </row>
    <row r="131" spans="2:2" ht="12.75">
      <c r="B131" s="114"/>
    </row>
    <row r="132" spans="2:2" ht="12.75">
      <c r="B132" s="114"/>
    </row>
    <row r="133" spans="2:2" ht="12.75">
      <c r="B133" s="114"/>
    </row>
    <row r="134" spans="2:2" ht="12.75">
      <c r="B134" s="114"/>
    </row>
    <row r="135" spans="2:2" ht="12.75">
      <c r="B135" s="114"/>
    </row>
    <row r="136" spans="2:2" ht="12.75">
      <c r="B136" s="114"/>
    </row>
    <row r="137" spans="2:2" ht="12.75">
      <c r="B137" s="114"/>
    </row>
    <row r="138" spans="2:2" ht="12.75">
      <c r="B138" s="114"/>
    </row>
    <row r="139" spans="2:2" ht="12.75">
      <c r="B139" s="114"/>
    </row>
    <row r="140" spans="2:2" ht="12.75">
      <c r="B140" s="114"/>
    </row>
    <row r="141" spans="2:2" ht="12.75">
      <c r="B141" s="114"/>
    </row>
    <row r="142" spans="2:2" ht="12.75">
      <c r="B142" s="114"/>
    </row>
    <row r="143" spans="2:2" ht="12.75">
      <c r="B143" s="114"/>
    </row>
    <row r="144" spans="2:2" ht="12.75">
      <c r="B144" s="114"/>
    </row>
    <row r="145" spans="2:2" ht="12.75">
      <c r="B145" s="114"/>
    </row>
    <row r="146" spans="2:2" ht="12.75">
      <c r="B146" s="114"/>
    </row>
    <row r="147" spans="2:2" ht="12.75">
      <c r="B147" s="114"/>
    </row>
    <row r="148" spans="2:2" ht="12.75">
      <c r="B148" s="114"/>
    </row>
    <row r="149" spans="2:2" ht="12.75">
      <c r="B149" s="114"/>
    </row>
    <row r="150" spans="2:2" ht="12.75">
      <c r="B150" s="114"/>
    </row>
    <row r="151" spans="2:2" ht="12.75">
      <c r="B151" s="114"/>
    </row>
    <row r="152" spans="2:2" ht="12.75">
      <c r="B152" s="114"/>
    </row>
    <row r="153" spans="2:2" ht="12.75">
      <c r="B153" s="114"/>
    </row>
    <row r="154" spans="2:2" ht="12.75">
      <c r="B154" s="114"/>
    </row>
    <row r="155" spans="2:2" ht="12.75">
      <c r="B155" s="114"/>
    </row>
    <row r="156" spans="2:2" ht="12.75">
      <c r="B156" s="114"/>
    </row>
    <row r="157" spans="2:2" ht="12.75">
      <c r="B157" s="114"/>
    </row>
    <row r="158" spans="2:2" ht="12.75">
      <c r="B158" s="114"/>
    </row>
    <row r="159" spans="2:2" ht="12.75">
      <c r="B159" s="114"/>
    </row>
    <row r="160" spans="2:2" ht="12.75">
      <c r="B160" s="114"/>
    </row>
    <row r="161" spans="2:2" ht="12.75">
      <c r="B161" s="114"/>
    </row>
    <row r="162" spans="2:2" ht="12.75">
      <c r="B162" s="114"/>
    </row>
    <row r="163" spans="2:2" ht="12.75">
      <c r="B163" s="114"/>
    </row>
    <row r="164" spans="2:2" ht="12.75">
      <c r="B164" s="114"/>
    </row>
    <row r="165" spans="2:2" ht="12.75">
      <c r="B165" s="114"/>
    </row>
    <row r="166" spans="2:2" ht="12.75">
      <c r="B166" s="114"/>
    </row>
    <row r="167" spans="2:2" ht="12.75">
      <c r="B167" s="114"/>
    </row>
    <row r="168" spans="2:2" ht="12.75">
      <c r="B168" s="114"/>
    </row>
    <row r="169" spans="2:2" ht="12.75">
      <c r="B169" s="114"/>
    </row>
    <row r="170" spans="2:2" ht="12.75">
      <c r="B170" s="114"/>
    </row>
    <row r="171" spans="2:2" ht="12.75">
      <c r="B171" s="114"/>
    </row>
    <row r="172" spans="2:2" ht="12.75">
      <c r="B172" s="114"/>
    </row>
    <row r="173" spans="2:2" ht="12.75">
      <c r="B173" s="114"/>
    </row>
    <row r="174" spans="2:2" ht="12.75">
      <c r="B174" s="114"/>
    </row>
    <row r="175" spans="2:2" ht="12.75">
      <c r="B175" s="114"/>
    </row>
    <row r="176" spans="2:2" ht="12.75">
      <c r="B176" s="114"/>
    </row>
    <row r="177" spans="2:2" ht="12.75">
      <c r="B177" s="114"/>
    </row>
    <row r="178" spans="2:2" ht="12.75">
      <c r="B178" s="114"/>
    </row>
    <row r="179" spans="2:2" ht="12.75">
      <c r="B179" s="114"/>
    </row>
    <row r="180" spans="2:2" ht="12.75">
      <c r="B180" s="114"/>
    </row>
    <row r="181" spans="2:2" ht="12.75">
      <c r="B181" s="114"/>
    </row>
    <row r="182" spans="2:2" ht="12.75">
      <c r="B182" s="114"/>
    </row>
    <row r="183" spans="2:2" ht="12.75">
      <c r="B183" s="114"/>
    </row>
    <row r="184" spans="2:2" ht="12.75">
      <c r="B184" s="114"/>
    </row>
    <row r="185" spans="2:2" ht="12.75">
      <c r="B185" s="114"/>
    </row>
    <row r="186" spans="2:2" ht="12.75">
      <c r="B186" s="114"/>
    </row>
    <row r="187" spans="2:2" ht="12.75">
      <c r="B187" s="114"/>
    </row>
    <row r="188" spans="2:2" ht="12.75">
      <c r="B188" s="114"/>
    </row>
    <row r="189" spans="2:2" ht="12.75">
      <c r="B189" s="114"/>
    </row>
    <row r="190" spans="2:2" ht="12.75">
      <c r="B190" s="114"/>
    </row>
    <row r="191" spans="2:2" ht="12.75">
      <c r="B191" s="114"/>
    </row>
    <row r="192" spans="2:2" ht="12.75">
      <c r="B192" s="114"/>
    </row>
    <row r="193" spans="2:2" ht="12.75">
      <c r="B193" s="114"/>
    </row>
    <row r="194" spans="2:2" ht="12.75">
      <c r="B194" s="114"/>
    </row>
    <row r="195" spans="2:2" ht="12.75">
      <c r="B195" s="114"/>
    </row>
    <row r="196" spans="2:2" ht="12.75">
      <c r="B196" s="114"/>
    </row>
    <row r="197" spans="2:2" ht="12.75">
      <c r="B197" s="114"/>
    </row>
    <row r="198" spans="2:2" ht="12.75">
      <c r="B198" s="114"/>
    </row>
    <row r="199" spans="2:2" ht="12.75">
      <c r="B199" s="114"/>
    </row>
    <row r="200" spans="2:2" ht="12.75">
      <c r="B200" s="114"/>
    </row>
    <row r="201" spans="2:2" ht="12.75">
      <c r="B201" s="114"/>
    </row>
    <row r="202" spans="2:2" ht="12.75">
      <c r="B202" s="114"/>
    </row>
    <row r="203" spans="2:2" ht="12.75">
      <c r="B203" s="114"/>
    </row>
    <row r="204" spans="2:2" ht="12.75">
      <c r="B204" s="114"/>
    </row>
    <row r="205" spans="2:2" ht="12.75">
      <c r="B205" s="114"/>
    </row>
    <row r="206" spans="2:2" ht="12.75">
      <c r="B206" s="114"/>
    </row>
    <row r="207" spans="2:2" ht="12.75">
      <c r="B207" s="114"/>
    </row>
    <row r="208" spans="2:2" ht="12.75">
      <c r="B208" s="114"/>
    </row>
    <row r="209" spans="2:2" ht="12.75">
      <c r="B209" s="114"/>
    </row>
    <row r="210" spans="2:2" ht="12.75">
      <c r="B210" s="114"/>
    </row>
    <row r="211" spans="2:2" ht="12.75">
      <c r="B211" s="114"/>
    </row>
    <row r="212" spans="2:2" ht="12.75">
      <c r="B212" s="114"/>
    </row>
    <row r="213" spans="2:2" ht="12.75">
      <c r="B213" s="114"/>
    </row>
    <row r="214" spans="2:2" ht="12.75">
      <c r="B214" s="114"/>
    </row>
    <row r="215" spans="2:2" ht="12.75">
      <c r="B215" s="114"/>
    </row>
    <row r="216" spans="2:2" ht="12.75">
      <c r="B216" s="114"/>
    </row>
    <row r="217" spans="2:2" ht="12.75">
      <c r="B217" s="114"/>
    </row>
    <row r="218" spans="2:2" ht="12.75">
      <c r="B218" s="114"/>
    </row>
    <row r="219" spans="2:2" ht="12.75">
      <c r="B219" s="114"/>
    </row>
    <row r="220" spans="2:2" ht="12.75">
      <c r="B220" s="114"/>
    </row>
    <row r="221" spans="2:2" ht="12.75">
      <c r="B221" s="114"/>
    </row>
    <row r="222" spans="2:2" ht="12.75">
      <c r="B222" s="114"/>
    </row>
    <row r="223" spans="2:2" ht="12.75">
      <c r="B223" s="114"/>
    </row>
    <row r="224" spans="2:2" ht="12.75">
      <c r="B224" s="114"/>
    </row>
    <row r="225" spans="2:2" ht="12.75">
      <c r="B225" s="114"/>
    </row>
    <row r="226" spans="2:2" ht="12.75">
      <c r="B226" s="114"/>
    </row>
    <row r="227" spans="2:2" ht="12.75">
      <c r="B227" s="114"/>
    </row>
    <row r="228" spans="2:2" ht="12.75">
      <c r="B228" s="114"/>
    </row>
    <row r="229" spans="2:2" ht="12.75">
      <c r="B229" s="114"/>
    </row>
    <row r="230" spans="2:2" ht="12.75">
      <c r="B230" s="114"/>
    </row>
    <row r="231" spans="2:2" ht="12.75">
      <c r="B231" s="114"/>
    </row>
    <row r="232" spans="2:2" ht="12.75">
      <c r="B232" s="114"/>
    </row>
    <row r="233" spans="2:2" ht="12.75">
      <c r="B233" s="114"/>
    </row>
    <row r="234" spans="2:2" ht="12.75">
      <c r="B234" s="114"/>
    </row>
    <row r="235" spans="2:2" ht="12.75">
      <c r="B235" s="114"/>
    </row>
    <row r="236" spans="2:2" ht="12.75">
      <c r="B236" s="114"/>
    </row>
    <row r="237" spans="2:2" ht="12.75">
      <c r="B237" s="114"/>
    </row>
    <row r="238" spans="2:2" ht="12.75">
      <c r="B238" s="114"/>
    </row>
    <row r="239" spans="2:2" ht="12.75">
      <c r="B239" s="114"/>
    </row>
    <row r="240" spans="2:2" ht="12.75">
      <c r="B240" s="114"/>
    </row>
    <row r="241" spans="2:2" ht="12.75">
      <c r="B241" s="114"/>
    </row>
    <row r="242" spans="2:2" ht="12.75">
      <c r="B242" s="114"/>
    </row>
    <row r="243" spans="2:2" ht="12.75">
      <c r="B243" s="114"/>
    </row>
    <row r="244" spans="2:2" ht="12.75">
      <c r="B244" s="114"/>
    </row>
    <row r="245" spans="2:2" ht="12.75">
      <c r="B245" s="114"/>
    </row>
    <row r="246" spans="2:2" ht="12.75">
      <c r="B246" s="114"/>
    </row>
    <row r="247" spans="2:2" ht="12.75">
      <c r="B247" s="114"/>
    </row>
    <row r="248" spans="2:2" ht="12.75">
      <c r="B248" s="114"/>
    </row>
    <row r="249" spans="2:2" ht="12.75">
      <c r="B249" s="114"/>
    </row>
    <row r="250" spans="2:2" ht="12.75">
      <c r="B250" s="114"/>
    </row>
    <row r="251" spans="2:2" ht="12.75">
      <c r="B251" s="114"/>
    </row>
    <row r="252" spans="2:2" ht="12.75">
      <c r="B252" s="114"/>
    </row>
    <row r="253" spans="2:2" ht="12.75">
      <c r="B253" s="114"/>
    </row>
    <row r="254" spans="2:2" ht="12.75">
      <c r="B254" s="114"/>
    </row>
    <row r="255" spans="2:2" ht="12.75">
      <c r="B255" s="114"/>
    </row>
    <row r="256" spans="2:2" ht="12.75">
      <c r="B256" s="114"/>
    </row>
    <row r="257" spans="2:2" ht="12.75">
      <c r="B257" s="114"/>
    </row>
    <row r="258" spans="2:2" ht="12.75">
      <c r="B258" s="114"/>
    </row>
    <row r="259" spans="2:2" ht="12.75">
      <c r="B259" s="114"/>
    </row>
    <row r="260" spans="2:2" ht="12.75">
      <c r="B260" s="114"/>
    </row>
    <row r="261" spans="2:2" ht="12.75">
      <c r="B261" s="114"/>
    </row>
    <row r="262" spans="2:2" ht="12.75">
      <c r="B262" s="114"/>
    </row>
    <row r="263" spans="2:2" ht="12.75">
      <c r="B263" s="114"/>
    </row>
    <row r="264" spans="2:2" ht="12.75">
      <c r="B264" s="114"/>
    </row>
    <row r="265" spans="2:2" ht="12.75">
      <c r="B265" s="114"/>
    </row>
    <row r="266" spans="2:2" ht="12.75">
      <c r="B266" s="114"/>
    </row>
    <row r="267" spans="2:2" ht="12.75">
      <c r="B267" s="114"/>
    </row>
    <row r="268" spans="2:2" ht="12.75">
      <c r="B268" s="114"/>
    </row>
    <row r="269" spans="2:2" ht="12.75">
      <c r="B269" s="114"/>
    </row>
    <row r="270" spans="2:2" ht="12.75">
      <c r="B270" s="114"/>
    </row>
    <row r="271" spans="2:2" ht="12.75">
      <c r="B271" s="114"/>
    </row>
    <row r="272" spans="2:2" ht="12.75">
      <c r="B272" s="114"/>
    </row>
    <row r="273" spans="2:2" ht="12.75">
      <c r="B273" s="114"/>
    </row>
    <row r="274" spans="2:2" ht="12.75">
      <c r="B274" s="114"/>
    </row>
    <row r="275" spans="2:2" ht="12.75">
      <c r="B275" s="114"/>
    </row>
    <row r="276" spans="2:2" ht="12.75">
      <c r="B276" s="114"/>
    </row>
    <row r="277" spans="2:2" ht="12.75">
      <c r="B277" s="114"/>
    </row>
    <row r="278" spans="2:2" ht="12.75">
      <c r="B278" s="114"/>
    </row>
    <row r="279" spans="2:2" ht="12.75">
      <c r="B279" s="114"/>
    </row>
    <row r="280" spans="2:2" ht="12.75">
      <c r="B280" s="114"/>
    </row>
    <row r="281" spans="2:2" ht="12.75">
      <c r="B281" s="114"/>
    </row>
    <row r="282" spans="2:2" ht="12.75">
      <c r="B282" s="114"/>
    </row>
    <row r="283" spans="2:2" ht="12.75">
      <c r="B283" s="114"/>
    </row>
    <row r="284" spans="2:2" ht="12.75">
      <c r="B284" s="114"/>
    </row>
    <row r="285" spans="2:2" ht="12.75">
      <c r="B285" s="114"/>
    </row>
    <row r="286" spans="2:2" ht="12.75">
      <c r="B286" s="114"/>
    </row>
    <row r="287" spans="2:2" ht="12.75">
      <c r="B287" s="114"/>
    </row>
    <row r="288" spans="2:2" ht="12.75">
      <c r="B288" s="114"/>
    </row>
    <row r="289" spans="2:2" ht="12.75">
      <c r="B289" s="114"/>
    </row>
    <row r="290" spans="2:2" ht="12.75">
      <c r="B290" s="114"/>
    </row>
    <row r="291" spans="2:2" ht="12.75">
      <c r="B291" s="114"/>
    </row>
    <row r="292" spans="2:2" ht="12.75">
      <c r="B292" s="114"/>
    </row>
    <row r="293" spans="2:2" ht="12.75">
      <c r="B293" s="114"/>
    </row>
    <row r="294" spans="2:2" ht="12.75">
      <c r="B294" s="114"/>
    </row>
    <row r="295" spans="2:2" ht="12.75">
      <c r="B295" s="114"/>
    </row>
    <row r="296" spans="2:2" ht="12.75">
      <c r="B296" s="114"/>
    </row>
    <row r="297" spans="2:2" ht="12.75">
      <c r="B297" s="114"/>
    </row>
    <row r="298" spans="2:2" ht="12.75">
      <c r="B298" s="114"/>
    </row>
    <row r="299" spans="2:2" ht="12.75">
      <c r="B299" s="114"/>
    </row>
    <row r="300" spans="2:2" ht="12.75">
      <c r="B300" s="114"/>
    </row>
    <row r="301" spans="2:2" ht="12.75">
      <c r="B301" s="114"/>
    </row>
    <row r="302" spans="2:2" ht="12.75">
      <c r="B302" s="114"/>
    </row>
    <row r="303" spans="2:2" ht="12.75">
      <c r="B303" s="114"/>
    </row>
    <row r="304" spans="2:2" ht="12.75">
      <c r="B304" s="114"/>
    </row>
    <row r="305" spans="2:2" ht="12.75">
      <c r="B305" s="114"/>
    </row>
    <row r="306" spans="2:2" ht="12.75">
      <c r="B306" s="114"/>
    </row>
    <row r="307" spans="2:2" ht="12.75">
      <c r="B307" s="114"/>
    </row>
    <row r="308" spans="2:2" ht="12.75">
      <c r="B308" s="114"/>
    </row>
    <row r="309" spans="2:2" ht="12.75">
      <c r="B309" s="114"/>
    </row>
    <row r="310" spans="2:2" ht="12.75">
      <c r="B310" s="114"/>
    </row>
    <row r="311" spans="2:2" ht="12.75">
      <c r="B311" s="114"/>
    </row>
    <row r="312" spans="2:2" ht="12.75">
      <c r="B312" s="114"/>
    </row>
    <row r="313" spans="2:2" ht="12.75">
      <c r="B313" s="114"/>
    </row>
    <row r="314" spans="2:2" ht="12.75">
      <c r="B314" s="114"/>
    </row>
    <row r="315" spans="2:2" ht="12.75">
      <c r="B315" s="114"/>
    </row>
    <row r="316" spans="2:2" ht="12.75">
      <c r="B316" s="114"/>
    </row>
    <row r="317" spans="2:2" ht="12.75">
      <c r="B317" s="114"/>
    </row>
    <row r="318" spans="2:2" ht="12.75">
      <c r="B318" s="114"/>
    </row>
    <row r="319" spans="2:2" ht="12.75">
      <c r="B319" s="114"/>
    </row>
    <row r="320" spans="2:2" ht="12.75">
      <c r="B320" s="114"/>
    </row>
    <row r="321" spans="2:2" ht="12.75">
      <c r="B321" s="114"/>
    </row>
    <row r="322" spans="2:2" ht="12.75">
      <c r="B322" s="114"/>
    </row>
    <row r="323" spans="2:2" ht="12.75">
      <c r="B323" s="114"/>
    </row>
    <row r="324" spans="2:2" ht="12.75">
      <c r="B324" s="114"/>
    </row>
    <row r="325" spans="2:2" ht="12.75">
      <c r="B325" s="114"/>
    </row>
    <row r="326" spans="2:2" ht="12.75">
      <c r="B326" s="114"/>
    </row>
    <row r="327" spans="2:2" ht="12.75">
      <c r="B327" s="114"/>
    </row>
    <row r="328" spans="2:2" ht="12.75">
      <c r="B328" s="114"/>
    </row>
    <row r="329" spans="2:2" ht="12.75">
      <c r="B329" s="114"/>
    </row>
    <row r="330" spans="2:2" ht="12.75">
      <c r="B330" s="114"/>
    </row>
    <row r="331" spans="2:2" ht="12.75">
      <c r="B331" s="114"/>
    </row>
    <row r="332" spans="2:2" ht="12.75">
      <c r="B332" s="114"/>
    </row>
    <row r="333" spans="2:2" ht="12.75">
      <c r="B333" s="114"/>
    </row>
    <row r="334" spans="2:2" ht="12.75">
      <c r="B334" s="114"/>
    </row>
    <row r="335" spans="2:2" ht="12.75">
      <c r="B335" s="114"/>
    </row>
    <row r="336" spans="2:2" ht="12.75">
      <c r="B336" s="114"/>
    </row>
    <row r="337" spans="2:2" ht="12.75">
      <c r="B337" s="114"/>
    </row>
    <row r="338" spans="2:2" ht="12.75">
      <c r="B338" s="114"/>
    </row>
    <row r="339" spans="2:2" ht="12.75">
      <c r="B339" s="114"/>
    </row>
    <row r="340" spans="2:2" ht="12.75">
      <c r="B340" s="114"/>
    </row>
    <row r="341" spans="2:2" ht="12.75">
      <c r="B341" s="114"/>
    </row>
    <row r="342" spans="2:2" ht="12.75">
      <c r="B342" s="114"/>
    </row>
    <row r="343" spans="2:2" ht="12.75">
      <c r="B343" s="114"/>
    </row>
    <row r="344" spans="2:2" ht="12.75">
      <c r="B344" s="114"/>
    </row>
    <row r="345" spans="2:2" ht="12.75">
      <c r="B345" s="114"/>
    </row>
    <row r="346" spans="2:2" ht="12.75">
      <c r="B346" s="114"/>
    </row>
    <row r="347" spans="2:2" ht="12.75">
      <c r="B347" s="114"/>
    </row>
    <row r="348" spans="2:2" ht="12.75">
      <c r="B348" s="114"/>
    </row>
    <row r="349" spans="2:2" ht="12.75">
      <c r="B349" s="114"/>
    </row>
    <row r="350" spans="2:2" ht="12.75">
      <c r="B350" s="114"/>
    </row>
    <row r="351" spans="2:2" ht="12.75">
      <c r="B351" s="114"/>
    </row>
    <row r="352" spans="2:2" ht="12.75">
      <c r="B352" s="114"/>
    </row>
    <row r="353" spans="2:2" ht="12.75">
      <c r="B353" s="114"/>
    </row>
    <row r="354" spans="2:2" ht="12.75">
      <c r="B354" s="114"/>
    </row>
    <row r="355" spans="2:2" ht="12.75">
      <c r="B355" s="114"/>
    </row>
    <row r="356" spans="2:2" ht="12.75">
      <c r="B356" s="114"/>
    </row>
    <row r="357" spans="2:2" ht="12.75">
      <c r="B357" s="114"/>
    </row>
    <row r="358" spans="2:2" ht="12.75">
      <c r="B358" s="114"/>
    </row>
    <row r="359" spans="2:2" ht="12.75">
      <c r="B359" s="114"/>
    </row>
    <row r="360" spans="2:2" ht="12.75">
      <c r="B360" s="114"/>
    </row>
    <row r="361" spans="2:2" ht="12.75">
      <c r="B361" s="114"/>
    </row>
    <row r="362" spans="2:2" ht="12.75">
      <c r="B362" s="114"/>
    </row>
    <row r="363" spans="2:2" ht="12.75">
      <c r="B363" s="114"/>
    </row>
    <row r="364" spans="2:2" ht="12.75">
      <c r="B364" s="114"/>
    </row>
    <row r="365" spans="2:2" ht="12.75">
      <c r="B365" s="114"/>
    </row>
    <row r="366" spans="2:2" ht="12.75">
      <c r="B366" s="114"/>
    </row>
    <row r="367" spans="2:2" ht="12.75">
      <c r="B367" s="114"/>
    </row>
    <row r="368" spans="2:2" ht="12.75">
      <c r="B368" s="114"/>
    </row>
    <row r="369" spans="2:2" ht="12.75">
      <c r="B369" s="114"/>
    </row>
    <row r="370" spans="2:2" ht="12.75">
      <c r="B370" s="114"/>
    </row>
    <row r="371" spans="2:2" ht="12.75">
      <c r="B371" s="114"/>
    </row>
    <row r="372" spans="2:2" ht="12.75">
      <c r="B372" s="114"/>
    </row>
    <row r="373" spans="2:2" ht="12.75">
      <c r="B373" s="114"/>
    </row>
    <row r="374" spans="2:2" ht="12.75">
      <c r="B374" s="114"/>
    </row>
    <row r="375" spans="2:2" ht="12.75">
      <c r="B375" s="114"/>
    </row>
    <row r="376" spans="2:2" ht="12.75">
      <c r="B376" s="114"/>
    </row>
    <row r="377" spans="2:2" ht="12.75">
      <c r="B377" s="114"/>
    </row>
    <row r="378" spans="2:2" ht="12.75">
      <c r="B378" s="114"/>
    </row>
    <row r="379" spans="2:2" ht="12.75">
      <c r="B379" s="114"/>
    </row>
    <row r="380" spans="2:2" ht="12.75">
      <c r="B380" s="114"/>
    </row>
    <row r="381" spans="2:2" ht="12.75">
      <c r="B381" s="114"/>
    </row>
    <row r="382" spans="2:2" ht="12.75">
      <c r="B382" s="114"/>
    </row>
    <row r="383" spans="2:2" ht="12.75">
      <c r="B383" s="114"/>
    </row>
    <row r="384" spans="2:2" ht="12.75">
      <c r="B384" s="114"/>
    </row>
    <row r="385" spans="2:2" ht="12.75">
      <c r="B385" s="114"/>
    </row>
    <row r="386" spans="2:2" ht="12.75">
      <c r="B386" s="114"/>
    </row>
    <row r="387" spans="2:2" ht="12.75">
      <c r="B387" s="114"/>
    </row>
    <row r="388" spans="2:2" ht="12.75">
      <c r="B388" s="114"/>
    </row>
    <row r="389" spans="2:2" ht="12.75">
      <c r="B389" s="114"/>
    </row>
    <row r="390" spans="2:2" ht="12.75">
      <c r="B390" s="114"/>
    </row>
    <row r="391" spans="2:2" ht="12.75">
      <c r="B391" s="114"/>
    </row>
    <row r="392" spans="2:2" ht="12.75">
      <c r="B392" s="114"/>
    </row>
    <row r="393" spans="2:2" ht="12.75">
      <c r="B393" s="114"/>
    </row>
    <row r="394" spans="2:2" ht="12.75">
      <c r="B394" s="114"/>
    </row>
    <row r="395" spans="2:2" ht="12.75">
      <c r="B395" s="114"/>
    </row>
    <row r="396" spans="2:2" ht="12.75">
      <c r="B396" s="114"/>
    </row>
    <row r="397" spans="2:2" ht="12.75">
      <c r="B397" s="114"/>
    </row>
    <row r="398" spans="2:2" ht="12.75">
      <c r="B398" s="114"/>
    </row>
    <row r="399" spans="2:2" ht="12.75">
      <c r="B399" s="114"/>
    </row>
    <row r="400" spans="2:2" ht="12.75">
      <c r="B400" s="114"/>
    </row>
    <row r="401" spans="2:2" ht="12.75">
      <c r="B401" s="114"/>
    </row>
    <row r="402" spans="2:2" ht="12.75">
      <c r="B402" s="114"/>
    </row>
    <row r="403" spans="2:2" ht="12.75">
      <c r="B403" s="114"/>
    </row>
    <row r="404" spans="2:2" ht="12.75">
      <c r="B404" s="114"/>
    </row>
    <row r="405" spans="2:2" ht="12.75">
      <c r="B405" s="114"/>
    </row>
    <row r="406" spans="2:2" ht="12.75">
      <c r="B406" s="114"/>
    </row>
    <row r="407" spans="2:2" ht="12.75">
      <c r="B407" s="114"/>
    </row>
    <row r="408" spans="2:2" ht="12.75">
      <c r="B408" s="114"/>
    </row>
    <row r="409" spans="2:2" ht="12.75">
      <c r="B409" s="114"/>
    </row>
    <row r="410" spans="2:2" ht="12.75">
      <c r="B410" s="114"/>
    </row>
    <row r="411" spans="2:2" ht="12.75">
      <c r="B411" s="114"/>
    </row>
    <row r="412" spans="2:2" ht="12.75">
      <c r="B412" s="114"/>
    </row>
    <row r="413" spans="2:2" ht="12.75">
      <c r="B413" s="114"/>
    </row>
    <row r="414" spans="2:2" ht="12.75">
      <c r="B414" s="114"/>
    </row>
    <row r="415" spans="2:2" ht="12.75">
      <c r="B415" s="114"/>
    </row>
    <row r="416" spans="2:2" ht="12.75">
      <c r="B416" s="114"/>
    </row>
    <row r="417" spans="2:2" ht="12.75">
      <c r="B417" s="114"/>
    </row>
    <row r="418" spans="2:2" ht="12.75">
      <c r="B418" s="114"/>
    </row>
    <row r="419" spans="2:2" ht="12.75">
      <c r="B419" s="114"/>
    </row>
    <row r="420" spans="2:2" ht="12.75">
      <c r="B420" s="114"/>
    </row>
    <row r="421" spans="2:2" ht="12.75">
      <c r="B421" s="114"/>
    </row>
    <row r="422" spans="2:2" ht="12.75">
      <c r="B422" s="114"/>
    </row>
    <row r="423" spans="2:2" ht="12.75">
      <c r="B423" s="114"/>
    </row>
    <row r="424" spans="2:2" ht="12.75">
      <c r="B424" s="114"/>
    </row>
    <row r="425" spans="2:2" ht="12.75">
      <c r="B425" s="114"/>
    </row>
    <row r="426" spans="2:2" ht="12.75">
      <c r="B426" s="114"/>
    </row>
    <row r="427" spans="2:2" ht="12.75">
      <c r="B427" s="114"/>
    </row>
    <row r="428" spans="2:2" ht="12.75">
      <c r="B428" s="114"/>
    </row>
    <row r="429" spans="2:2" ht="12.75">
      <c r="B429" s="114"/>
    </row>
    <row r="430" spans="2:2" ht="12.75">
      <c r="B430" s="114"/>
    </row>
    <row r="431" spans="2:2" ht="12.75">
      <c r="B431" s="114"/>
    </row>
    <row r="432" spans="2:2" ht="12.75">
      <c r="B432" s="114"/>
    </row>
    <row r="433" spans="2:2" ht="12.75">
      <c r="B433" s="114"/>
    </row>
    <row r="434" spans="2:2" ht="12.75">
      <c r="B434" s="114"/>
    </row>
    <row r="435" spans="2:2" ht="12.75">
      <c r="B435" s="114"/>
    </row>
    <row r="436" spans="2:2" ht="12.75">
      <c r="B436" s="114"/>
    </row>
    <row r="437" spans="2:2" ht="12.75">
      <c r="B437" s="114"/>
    </row>
    <row r="438" spans="2:2" ht="12.75">
      <c r="B438" s="114"/>
    </row>
    <row r="439" spans="2:2" ht="12.75">
      <c r="B439" s="114"/>
    </row>
    <row r="440" spans="2:2" ht="12.75">
      <c r="B440" s="114"/>
    </row>
    <row r="441" spans="2:2" ht="12.75">
      <c r="B441" s="114"/>
    </row>
    <row r="442" spans="2:2" ht="12.75">
      <c r="B442" s="114"/>
    </row>
    <row r="443" spans="2:2" ht="12.75">
      <c r="B443" s="114"/>
    </row>
    <row r="444" spans="2:2" ht="12.75">
      <c r="B444" s="114"/>
    </row>
    <row r="445" spans="2:2" ht="12.75">
      <c r="B445" s="114"/>
    </row>
    <row r="446" spans="2:2" ht="12.75">
      <c r="B446" s="114"/>
    </row>
    <row r="447" spans="2:2" ht="12.75">
      <c r="B447" s="114"/>
    </row>
    <row r="448" spans="2:2" ht="12.75">
      <c r="B448" s="114"/>
    </row>
    <row r="449" spans="2:2" ht="12.75">
      <c r="B449" s="114"/>
    </row>
    <row r="450" spans="2:2" ht="12.75">
      <c r="B450" s="114"/>
    </row>
    <row r="451" spans="2:2" ht="12.75">
      <c r="B451" s="114"/>
    </row>
    <row r="452" spans="2:2" ht="12.75">
      <c r="B452" s="114"/>
    </row>
    <row r="453" spans="2:2" ht="12.75">
      <c r="B453" s="114"/>
    </row>
    <row r="454" spans="2:2" ht="12.75">
      <c r="B454" s="114"/>
    </row>
    <row r="455" spans="2:2" ht="12.75">
      <c r="B455" s="114"/>
    </row>
    <row r="456" spans="2:2" ht="12.75">
      <c r="B456" s="114"/>
    </row>
    <row r="457" spans="2:2" ht="12.75">
      <c r="B457" s="114"/>
    </row>
    <row r="458" spans="2:2" ht="12.75">
      <c r="B458" s="114"/>
    </row>
    <row r="459" spans="2:2" ht="12.75">
      <c r="B459" s="114"/>
    </row>
    <row r="460" spans="2:2" ht="12.75">
      <c r="B460" s="114"/>
    </row>
    <row r="461" spans="2:2" ht="12.75">
      <c r="B461" s="114"/>
    </row>
    <row r="462" spans="2:2" ht="12.75">
      <c r="B462" s="114"/>
    </row>
    <row r="463" spans="2:2" ht="12.75">
      <c r="B463" s="114"/>
    </row>
    <row r="464" spans="2:2" ht="12.75">
      <c r="B464" s="114"/>
    </row>
    <row r="465" spans="2:2" ht="12.75">
      <c r="B465" s="114"/>
    </row>
    <row r="466" spans="2:2" ht="12.75">
      <c r="B466" s="114"/>
    </row>
    <row r="467" spans="2:2" ht="12.75">
      <c r="B467" s="114"/>
    </row>
    <row r="468" spans="2:2" ht="12.75">
      <c r="B468" s="114"/>
    </row>
    <row r="469" spans="2:2" ht="12.75">
      <c r="B469" s="114"/>
    </row>
    <row r="470" spans="2:2" ht="12.75">
      <c r="B470" s="114"/>
    </row>
    <row r="471" spans="2:2" ht="12.75">
      <c r="B471" s="114"/>
    </row>
    <row r="472" spans="2:2" ht="12.75">
      <c r="B472" s="114"/>
    </row>
    <row r="473" spans="2:2" ht="12.75">
      <c r="B473" s="114"/>
    </row>
    <row r="474" spans="2:2" ht="12.75">
      <c r="B474" s="114"/>
    </row>
    <row r="475" spans="2:2" ht="12.75">
      <c r="B475" s="114"/>
    </row>
    <row r="476" spans="2:2" ht="12.75">
      <c r="B476" s="114"/>
    </row>
    <row r="477" spans="2:2" ht="12.75">
      <c r="B477" s="114"/>
    </row>
    <row r="478" spans="2:2" ht="12.75">
      <c r="B478" s="114"/>
    </row>
    <row r="479" spans="2:2" ht="12.75">
      <c r="B479" s="114"/>
    </row>
    <row r="480" spans="2:2" ht="12.75">
      <c r="B480" s="114"/>
    </row>
    <row r="481" spans="2:2" ht="12.75">
      <c r="B481" s="114"/>
    </row>
    <row r="482" spans="2:2" ht="12.75">
      <c r="B482" s="114"/>
    </row>
    <row r="483" spans="2:2" ht="12.75">
      <c r="B483" s="114"/>
    </row>
    <row r="484" spans="2:2" ht="12.75">
      <c r="B484" s="114"/>
    </row>
    <row r="485" spans="2:2" ht="12.75">
      <c r="B485" s="114"/>
    </row>
    <row r="486" spans="2:2" ht="12.75">
      <c r="B486" s="114"/>
    </row>
    <row r="487" spans="2:2" ht="12.75">
      <c r="B487" s="114"/>
    </row>
    <row r="488" spans="2:2" ht="12.75">
      <c r="B488" s="114"/>
    </row>
    <row r="489" spans="2:2" ht="12.75">
      <c r="B489" s="114"/>
    </row>
    <row r="490" spans="2:2" ht="12.75">
      <c r="B490" s="114"/>
    </row>
    <row r="491" spans="2:2" ht="12.75">
      <c r="B491" s="114"/>
    </row>
    <row r="492" spans="2:2" ht="12.75">
      <c r="B492" s="114"/>
    </row>
    <row r="493" spans="2:2" ht="12.75">
      <c r="B493" s="114"/>
    </row>
    <row r="494" spans="2:2" ht="12.75">
      <c r="B494" s="114"/>
    </row>
    <row r="495" spans="2:2" ht="12.75">
      <c r="B495" s="114"/>
    </row>
    <row r="496" spans="2:2" ht="12.75">
      <c r="B496" s="114"/>
    </row>
    <row r="497" spans="2:2" ht="12.75">
      <c r="B497" s="114"/>
    </row>
    <row r="498" spans="2:2" ht="12.75">
      <c r="B498" s="114"/>
    </row>
    <row r="499" spans="2:2" ht="12.75">
      <c r="B499" s="114"/>
    </row>
    <row r="500" spans="2:2" ht="12.75">
      <c r="B500" s="114"/>
    </row>
    <row r="501" spans="2:2" ht="12.75">
      <c r="B501" s="114"/>
    </row>
    <row r="502" spans="2:2" ht="12.75">
      <c r="B502" s="114"/>
    </row>
    <row r="503" spans="2:2" ht="12.75">
      <c r="B503" s="114"/>
    </row>
    <row r="504" spans="2:2" ht="12.75">
      <c r="B504" s="114"/>
    </row>
    <row r="505" spans="2:2" ht="12.75">
      <c r="B505" s="114"/>
    </row>
    <row r="506" spans="2:2" ht="12.75">
      <c r="B506" s="114"/>
    </row>
    <row r="507" spans="2:2" ht="12.75">
      <c r="B507" s="114"/>
    </row>
    <row r="508" spans="2:2" ht="12.75">
      <c r="B508" s="114"/>
    </row>
    <row r="509" spans="2:2" ht="12.75">
      <c r="B509" s="114"/>
    </row>
    <row r="510" spans="2:2" ht="12.75">
      <c r="B510" s="114"/>
    </row>
    <row r="511" spans="2:2" ht="12.75">
      <c r="B511" s="114"/>
    </row>
    <row r="512" spans="2:2" ht="12.75">
      <c r="B512" s="114"/>
    </row>
    <row r="513" spans="2:2" ht="12.75">
      <c r="B513" s="114"/>
    </row>
    <row r="514" spans="2:2" ht="12.75">
      <c r="B514" s="114"/>
    </row>
    <row r="515" spans="2:2" ht="12.75">
      <c r="B515" s="114"/>
    </row>
    <row r="516" spans="2:2" ht="12.75">
      <c r="B516" s="114"/>
    </row>
    <row r="517" spans="2:2" ht="12.75">
      <c r="B517" s="114"/>
    </row>
    <row r="518" spans="2:2" ht="12.75">
      <c r="B518" s="114"/>
    </row>
    <row r="519" spans="2:2" ht="12.75">
      <c r="B519" s="114"/>
    </row>
    <row r="520" spans="2:2" ht="12.75">
      <c r="B520" s="114"/>
    </row>
    <row r="521" spans="2:2" ht="12.75">
      <c r="B521" s="114"/>
    </row>
    <row r="522" spans="2:2" ht="12.75">
      <c r="B522" s="114"/>
    </row>
    <row r="523" spans="2:2" ht="12.75">
      <c r="B523" s="114"/>
    </row>
    <row r="524" spans="2:2" ht="12.75">
      <c r="B524" s="114"/>
    </row>
    <row r="525" spans="2:2" ht="12.75">
      <c r="B525" s="114"/>
    </row>
    <row r="526" spans="2:2" ht="12.75">
      <c r="B526" s="114"/>
    </row>
    <row r="527" spans="2:2" ht="12.75">
      <c r="B527" s="114"/>
    </row>
    <row r="528" spans="2:2" ht="12.75">
      <c r="B528" s="114"/>
    </row>
    <row r="529" spans="2:2" ht="12.75">
      <c r="B529" s="114"/>
    </row>
    <row r="530" spans="2:2" ht="12.75">
      <c r="B530" s="114"/>
    </row>
    <row r="531" spans="2:2" ht="12.75">
      <c r="B531" s="114"/>
    </row>
    <row r="532" spans="2:2" ht="12.75">
      <c r="B532" s="114"/>
    </row>
    <row r="533" spans="2:2" ht="12.75">
      <c r="B533" s="114"/>
    </row>
    <row r="534" spans="2:2" ht="12.75">
      <c r="B534" s="114"/>
    </row>
    <row r="535" spans="2:2" ht="12.75">
      <c r="B535" s="114"/>
    </row>
    <row r="536" spans="2:2" ht="12.75">
      <c r="B536" s="114"/>
    </row>
    <row r="537" spans="2:2" ht="12.75">
      <c r="B537" s="114"/>
    </row>
    <row r="538" spans="2:2" ht="12.75">
      <c r="B538" s="114"/>
    </row>
    <row r="539" spans="2:2" ht="12.75">
      <c r="B539" s="114"/>
    </row>
    <row r="540" spans="2:2" ht="12.75">
      <c r="B540" s="114"/>
    </row>
    <row r="541" spans="2:2" ht="12.75">
      <c r="B541" s="114"/>
    </row>
    <row r="542" spans="2:2" ht="12.75">
      <c r="B542" s="114"/>
    </row>
    <row r="543" spans="2:2" ht="12.75">
      <c r="B543" s="114"/>
    </row>
    <row r="544" spans="2:2" ht="12.75">
      <c r="B544" s="114"/>
    </row>
    <row r="545" spans="2:2" ht="12.75">
      <c r="B545" s="114"/>
    </row>
    <row r="546" spans="2:2" ht="12.75">
      <c r="B546" s="114"/>
    </row>
    <row r="547" spans="2:2" ht="12.75">
      <c r="B547" s="114"/>
    </row>
    <row r="548" spans="2:2" ht="12.75">
      <c r="B548" s="114"/>
    </row>
    <row r="549" spans="2:2" ht="12.75">
      <c r="B549" s="114"/>
    </row>
    <row r="550" spans="2:2" ht="12.75">
      <c r="B550" s="114"/>
    </row>
    <row r="551" spans="2:2" ht="12.75">
      <c r="B551" s="114"/>
    </row>
    <row r="552" spans="2:2" ht="12.75">
      <c r="B552" s="114"/>
    </row>
    <row r="553" spans="2:2" ht="12.75">
      <c r="B553" s="114"/>
    </row>
    <row r="554" spans="2:2" ht="12.75">
      <c r="B554" s="114"/>
    </row>
    <row r="555" spans="2:2" ht="12.75">
      <c r="B555" s="114"/>
    </row>
    <row r="556" spans="2:2" ht="12.75">
      <c r="B556" s="114"/>
    </row>
    <row r="557" spans="2:2" ht="12.75">
      <c r="B557" s="114"/>
    </row>
    <row r="558" spans="2:2" ht="12.75">
      <c r="B558" s="114"/>
    </row>
    <row r="559" spans="2:2" ht="12.75">
      <c r="B559" s="114"/>
    </row>
    <row r="560" spans="2:2" ht="12.75">
      <c r="B560" s="114"/>
    </row>
    <row r="561" spans="2:2" ht="12.75">
      <c r="B561" s="114"/>
    </row>
    <row r="562" spans="2:2" ht="12.75">
      <c r="B562" s="114"/>
    </row>
    <row r="563" spans="2:2" ht="12.75">
      <c r="B563" s="114"/>
    </row>
    <row r="564" spans="2:2" ht="12.75">
      <c r="B564" s="114"/>
    </row>
    <row r="565" spans="2:2" ht="12.75">
      <c r="B565" s="114"/>
    </row>
    <row r="566" spans="2:2" ht="12.75">
      <c r="B566" s="114"/>
    </row>
    <row r="567" spans="2:2" ht="12.75">
      <c r="B567" s="114"/>
    </row>
    <row r="568" spans="2:2" ht="12.75">
      <c r="B568" s="114"/>
    </row>
    <row r="569" spans="2:2" ht="12.75">
      <c r="B569" s="114"/>
    </row>
    <row r="570" spans="2:2" ht="12.75">
      <c r="B570" s="114"/>
    </row>
    <row r="571" spans="2:2" ht="12.75">
      <c r="B571" s="114"/>
    </row>
    <row r="572" spans="2:2" ht="12.75">
      <c r="B572" s="114"/>
    </row>
    <row r="573" spans="2:2" ht="12.75">
      <c r="B573" s="114"/>
    </row>
    <row r="574" spans="2:2" ht="12.75">
      <c r="B574" s="114"/>
    </row>
    <row r="575" spans="2:2" ht="12.75">
      <c r="B575" s="114"/>
    </row>
    <row r="576" spans="2:2" ht="12.75">
      <c r="B576" s="114"/>
    </row>
    <row r="577" spans="2:2" ht="12.75">
      <c r="B577" s="114"/>
    </row>
    <row r="578" spans="2:2" ht="12.75">
      <c r="B578" s="114"/>
    </row>
    <row r="579" spans="2:2" ht="12.75">
      <c r="B579" s="114"/>
    </row>
    <row r="580" spans="2:2" ht="12.75">
      <c r="B580" s="114"/>
    </row>
    <row r="581" spans="2:2" ht="12.75">
      <c r="B581" s="114"/>
    </row>
    <row r="582" spans="2:2" ht="12.75">
      <c r="B582" s="114"/>
    </row>
    <row r="583" spans="2:2" ht="12.75">
      <c r="B583" s="114"/>
    </row>
    <row r="584" spans="2:2" ht="12.75">
      <c r="B584" s="114"/>
    </row>
    <row r="585" spans="2:2" ht="12.75">
      <c r="B585" s="114"/>
    </row>
    <row r="586" spans="2:2" ht="12.75">
      <c r="B586" s="114"/>
    </row>
    <row r="587" spans="2:2" ht="12.75">
      <c r="B587" s="114"/>
    </row>
    <row r="588" spans="2:2" ht="12.75">
      <c r="B588" s="114"/>
    </row>
    <row r="589" spans="2:2" ht="12.75">
      <c r="B589" s="114"/>
    </row>
    <row r="590" spans="2:2" ht="12.75">
      <c r="B590" s="114"/>
    </row>
    <row r="591" spans="2:2" ht="12.75">
      <c r="B591" s="114"/>
    </row>
    <row r="592" spans="2:2" ht="12.75">
      <c r="B592" s="114"/>
    </row>
    <row r="593" spans="2:2" ht="12.75">
      <c r="B593" s="114"/>
    </row>
    <row r="594" spans="2:2" ht="12.75">
      <c r="B594" s="114"/>
    </row>
    <row r="595" spans="2:2" ht="12.75">
      <c r="B595" s="114"/>
    </row>
    <row r="596" spans="2:2" ht="12.75">
      <c r="B596" s="114"/>
    </row>
    <row r="597" spans="2:2" ht="12.75">
      <c r="B597" s="114"/>
    </row>
    <row r="598" spans="2:2" ht="12.75">
      <c r="B598" s="114"/>
    </row>
    <row r="599" spans="2:2" ht="12.75">
      <c r="B599" s="114"/>
    </row>
    <row r="600" spans="2:2" ht="12.75">
      <c r="B600" s="114"/>
    </row>
    <row r="601" spans="2:2" ht="12.75">
      <c r="B601" s="114"/>
    </row>
    <row r="602" spans="2:2" ht="12.75">
      <c r="B602" s="114"/>
    </row>
    <row r="603" spans="2:2" ht="12.75">
      <c r="B603" s="114"/>
    </row>
    <row r="604" spans="2:2" ht="12.75">
      <c r="B604" s="114"/>
    </row>
    <row r="605" spans="2:2" ht="12.75">
      <c r="B605" s="114"/>
    </row>
    <row r="606" spans="2:2" ht="12.75">
      <c r="B606" s="114"/>
    </row>
    <row r="607" spans="2:2" ht="12.75">
      <c r="B607" s="114"/>
    </row>
    <row r="608" spans="2:2" ht="12.75">
      <c r="B608" s="114"/>
    </row>
    <row r="609" spans="2:2" ht="12.75">
      <c r="B609" s="114"/>
    </row>
    <row r="610" spans="2:2" ht="12.75">
      <c r="B610" s="114"/>
    </row>
    <row r="611" spans="2:2" ht="12.75">
      <c r="B611" s="114"/>
    </row>
    <row r="612" spans="2:2" ht="12.75">
      <c r="B612" s="114"/>
    </row>
    <row r="613" spans="2:2" ht="12.75">
      <c r="B613" s="114"/>
    </row>
    <row r="614" spans="2:2" ht="12.75">
      <c r="B614" s="114"/>
    </row>
    <row r="615" spans="2:2" ht="12.75">
      <c r="B615" s="114"/>
    </row>
    <row r="616" spans="2:2" ht="12.75">
      <c r="B616" s="114"/>
    </row>
    <row r="617" spans="2:2" ht="12.75">
      <c r="B617" s="114"/>
    </row>
    <row r="618" spans="2:2" ht="12.75">
      <c r="B618" s="114"/>
    </row>
    <row r="619" spans="2:2" ht="12.75">
      <c r="B619" s="114"/>
    </row>
    <row r="620" spans="2:2" ht="12.75">
      <c r="B620" s="114"/>
    </row>
    <row r="621" spans="2:2" ht="12.75">
      <c r="B621" s="114"/>
    </row>
    <row r="622" spans="2:2" ht="12.75">
      <c r="B622" s="114"/>
    </row>
    <row r="623" spans="2:2" ht="12.75">
      <c r="B623" s="114"/>
    </row>
    <row r="624" spans="2:2" ht="12.75">
      <c r="B624" s="114"/>
    </row>
    <row r="625" spans="2:2" ht="12.75">
      <c r="B625" s="114"/>
    </row>
    <row r="626" spans="2:2" ht="12.75">
      <c r="B626" s="114"/>
    </row>
    <row r="627" spans="2:2" ht="12.75">
      <c r="B627" s="114"/>
    </row>
    <row r="628" spans="2:2" ht="12.75">
      <c r="B628" s="114"/>
    </row>
    <row r="629" spans="2:2" ht="12.75">
      <c r="B629" s="114"/>
    </row>
    <row r="630" spans="2:2" ht="12.75">
      <c r="B630" s="114"/>
    </row>
    <row r="631" spans="2:2" ht="12.75">
      <c r="B631" s="114"/>
    </row>
    <row r="632" spans="2:2" ht="12.75">
      <c r="B632" s="114"/>
    </row>
    <row r="633" spans="2:2" ht="12.75">
      <c r="B633" s="114"/>
    </row>
    <row r="634" spans="2:2" ht="12.75">
      <c r="B634" s="114"/>
    </row>
    <row r="635" spans="2:2" ht="12.75">
      <c r="B635" s="114"/>
    </row>
    <row r="636" spans="2:2" ht="12.75">
      <c r="B636" s="114"/>
    </row>
    <row r="637" spans="2:2" ht="12.75">
      <c r="B637" s="114"/>
    </row>
    <row r="638" spans="2:2" ht="12.75">
      <c r="B638" s="114"/>
    </row>
    <row r="639" spans="2:2" ht="12.75">
      <c r="B639" s="114"/>
    </row>
    <row r="640" spans="2:2" ht="12.75">
      <c r="B640" s="114"/>
    </row>
    <row r="641" spans="2:2" ht="12.75">
      <c r="B641" s="114"/>
    </row>
    <row r="642" spans="2:2" ht="12.75">
      <c r="B642" s="114"/>
    </row>
    <row r="643" spans="2:2" ht="12.75">
      <c r="B643" s="114"/>
    </row>
    <row r="644" spans="2:2" ht="12.75">
      <c r="B644" s="114"/>
    </row>
    <row r="645" spans="2:2" ht="12.75">
      <c r="B645" s="114"/>
    </row>
    <row r="646" spans="2:2" ht="12.75">
      <c r="B646" s="114"/>
    </row>
    <row r="647" spans="2:2" ht="12.75">
      <c r="B647" s="114"/>
    </row>
    <row r="648" spans="2:2" ht="12.75">
      <c r="B648" s="114"/>
    </row>
    <row r="649" spans="2:2" ht="12.75">
      <c r="B649" s="114"/>
    </row>
    <row r="650" spans="2:2" ht="12.75">
      <c r="B650" s="114"/>
    </row>
    <row r="651" spans="2:2" ht="12.75">
      <c r="B651" s="114"/>
    </row>
    <row r="652" spans="2:2" ht="12.75">
      <c r="B652" s="114"/>
    </row>
    <row r="653" spans="2:2" ht="12.75">
      <c r="B653" s="114"/>
    </row>
    <row r="654" spans="2:2" ht="12.75">
      <c r="B654" s="114"/>
    </row>
    <row r="655" spans="2:2" ht="12.75">
      <c r="B655" s="114"/>
    </row>
    <row r="656" spans="2:2" ht="12.75">
      <c r="B656" s="114"/>
    </row>
    <row r="657" spans="2:2" ht="12.75">
      <c r="B657" s="114"/>
    </row>
    <row r="658" spans="2:2" ht="12.75">
      <c r="B658" s="114"/>
    </row>
    <row r="659" spans="2:2" ht="12.75">
      <c r="B659" s="114"/>
    </row>
    <row r="660" spans="2:2" ht="12.75">
      <c r="B660" s="114"/>
    </row>
    <row r="661" spans="2:2" ht="12.75">
      <c r="B661" s="114"/>
    </row>
    <row r="662" spans="2:2" ht="12.75">
      <c r="B662" s="114"/>
    </row>
    <row r="663" spans="2:2" ht="12.75">
      <c r="B663" s="114"/>
    </row>
    <row r="664" spans="2:2" ht="12.75">
      <c r="B664" s="114"/>
    </row>
    <row r="665" spans="2:2" ht="12.75">
      <c r="B665" s="114"/>
    </row>
    <row r="666" spans="2:2" ht="12.75">
      <c r="B666" s="114"/>
    </row>
    <row r="667" spans="2:2" ht="12.75">
      <c r="B667" s="114"/>
    </row>
    <row r="668" spans="2:2" ht="12.75">
      <c r="B668" s="114"/>
    </row>
    <row r="669" spans="2:2" ht="12.75">
      <c r="B669" s="114"/>
    </row>
    <row r="670" spans="2:2" ht="12.75">
      <c r="B670" s="114"/>
    </row>
    <row r="671" spans="2:2" ht="12.75">
      <c r="B671" s="114"/>
    </row>
    <row r="672" spans="2:2" ht="12.75">
      <c r="B672" s="114"/>
    </row>
    <row r="673" spans="2:2" ht="12.75">
      <c r="B673" s="114"/>
    </row>
    <row r="674" spans="2:2" ht="12.75">
      <c r="B674" s="114"/>
    </row>
    <row r="675" spans="2:2" ht="12.75">
      <c r="B675" s="114"/>
    </row>
    <row r="676" spans="2:2" ht="12.75">
      <c r="B676" s="114"/>
    </row>
    <row r="677" spans="2:2" ht="12.75">
      <c r="B677" s="114"/>
    </row>
    <row r="678" spans="2:2" ht="12.75">
      <c r="B678" s="114"/>
    </row>
    <row r="679" spans="2:2" ht="12.75">
      <c r="B679" s="114"/>
    </row>
    <row r="680" spans="2:2" ht="12.75">
      <c r="B680" s="114"/>
    </row>
    <row r="681" spans="2:2" ht="12.75">
      <c r="B681" s="114"/>
    </row>
    <row r="682" spans="2:2" ht="12.75">
      <c r="B682" s="114"/>
    </row>
    <row r="683" spans="2:2" ht="12.75">
      <c r="B683" s="114"/>
    </row>
    <row r="684" spans="2:2" ht="12.75">
      <c r="B684" s="114"/>
    </row>
    <row r="685" spans="2:2" ht="12.75">
      <c r="B685" s="114"/>
    </row>
    <row r="686" spans="2:2" ht="12.75">
      <c r="B686" s="114"/>
    </row>
    <row r="687" spans="2:2" ht="12.75">
      <c r="B687" s="114"/>
    </row>
    <row r="688" spans="2:2" ht="12.75">
      <c r="B688" s="114"/>
    </row>
    <row r="689" spans="2:2" ht="12.75">
      <c r="B689" s="114"/>
    </row>
    <row r="690" spans="2:2" ht="12.75">
      <c r="B690" s="114"/>
    </row>
    <row r="691" spans="2:2" ht="12.75">
      <c r="B691" s="114"/>
    </row>
    <row r="692" spans="2:2" ht="12.75">
      <c r="B692" s="114"/>
    </row>
    <row r="693" spans="2:2" ht="12.75">
      <c r="B693" s="114"/>
    </row>
    <row r="694" spans="2:2" ht="12.75">
      <c r="B694" s="114"/>
    </row>
    <row r="695" spans="2:2" ht="12.75">
      <c r="B695" s="114"/>
    </row>
    <row r="696" spans="2:2" ht="12.75">
      <c r="B696" s="114"/>
    </row>
    <row r="697" spans="2:2" ht="12.75">
      <c r="B697" s="114"/>
    </row>
    <row r="698" spans="2:2" ht="12.75">
      <c r="B698" s="114"/>
    </row>
    <row r="699" spans="2:2" ht="12.75">
      <c r="B699" s="114"/>
    </row>
    <row r="700" spans="2:2" ht="12.75">
      <c r="B700" s="114"/>
    </row>
    <row r="701" spans="2:2" ht="12.75">
      <c r="B701" s="114"/>
    </row>
    <row r="702" spans="2:2" ht="12.75">
      <c r="B702" s="114"/>
    </row>
    <row r="703" spans="2:2" ht="12.75">
      <c r="B703" s="114"/>
    </row>
    <row r="704" spans="2:2" ht="12.75">
      <c r="B704" s="114"/>
    </row>
    <row r="705" spans="2:2" ht="12.75">
      <c r="B705" s="114"/>
    </row>
    <row r="706" spans="2:2" ht="12.75">
      <c r="B706" s="114"/>
    </row>
    <row r="707" spans="2:2" ht="12.75">
      <c r="B707" s="114"/>
    </row>
    <row r="708" spans="2:2" ht="12.75">
      <c r="B708" s="114"/>
    </row>
    <row r="709" spans="2:2" ht="12.75">
      <c r="B709" s="114"/>
    </row>
    <row r="710" spans="2:2" ht="12.75">
      <c r="B710" s="114"/>
    </row>
    <row r="711" spans="2:2" ht="12.75">
      <c r="B711" s="114"/>
    </row>
    <row r="712" spans="2:2" ht="12.75">
      <c r="B712" s="114"/>
    </row>
    <row r="713" spans="2:2" ht="12.75">
      <c r="B713" s="114"/>
    </row>
    <row r="714" spans="2:2" ht="12.75">
      <c r="B714" s="114"/>
    </row>
    <row r="715" spans="2:2" ht="12.75">
      <c r="B715" s="114"/>
    </row>
    <row r="716" spans="2:2" ht="12.75">
      <c r="B716" s="114"/>
    </row>
    <row r="717" spans="2:2" ht="12.75">
      <c r="B717" s="114"/>
    </row>
    <row r="718" spans="2:2" ht="12.75">
      <c r="B718" s="114"/>
    </row>
    <row r="719" spans="2:2" ht="12.75">
      <c r="B719" s="114"/>
    </row>
    <row r="720" spans="2:2" ht="12.75">
      <c r="B720" s="114"/>
    </row>
    <row r="721" spans="2:2" ht="12.75">
      <c r="B721" s="114"/>
    </row>
    <row r="722" spans="2:2" ht="12.75">
      <c r="B722" s="114"/>
    </row>
    <row r="723" spans="2:2" ht="12.75">
      <c r="B723" s="114"/>
    </row>
    <row r="724" spans="2:2" ht="12.75">
      <c r="B724" s="114"/>
    </row>
    <row r="725" spans="2:2" ht="12.75">
      <c r="B725" s="114"/>
    </row>
    <row r="726" spans="2:2" ht="12.75">
      <c r="B726" s="114"/>
    </row>
    <row r="727" spans="2:2" ht="12.75">
      <c r="B727" s="114"/>
    </row>
    <row r="728" spans="2:2" ht="12.75">
      <c r="B728" s="114"/>
    </row>
    <row r="729" spans="2:2" ht="12.75">
      <c r="B729" s="114"/>
    </row>
    <row r="730" spans="2:2" ht="12.75">
      <c r="B730" s="114"/>
    </row>
    <row r="731" spans="2:2" ht="12.75">
      <c r="B731" s="114"/>
    </row>
    <row r="732" spans="2:2" ht="12.75">
      <c r="B732" s="114"/>
    </row>
    <row r="733" spans="2:2" ht="12.75">
      <c r="B733" s="114"/>
    </row>
    <row r="734" spans="2:2" ht="12.75">
      <c r="B734" s="114"/>
    </row>
    <row r="735" spans="2:2" ht="12.75">
      <c r="B735" s="114"/>
    </row>
    <row r="736" spans="2:2" ht="12.75">
      <c r="B736" s="114"/>
    </row>
    <row r="737" spans="2:2" ht="12.75">
      <c r="B737" s="114"/>
    </row>
    <row r="738" spans="2:2" ht="12.75">
      <c r="B738" s="114"/>
    </row>
    <row r="739" spans="2:2" ht="12.75">
      <c r="B739" s="114"/>
    </row>
    <row r="740" spans="2:2" ht="12.75">
      <c r="B740" s="114"/>
    </row>
    <row r="741" spans="2:2" ht="12.75">
      <c r="B741" s="114"/>
    </row>
    <row r="742" spans="2:2" ht="12.75">
      <c r="B742" s="114"/>
    </row>
    <row r="743" spans="2:2" ht="12.75">
      <c r="B743" s="114"/>
    </row>
    <row r="744" spans="2:2" ht="12.75">
      <c r="B744" s="114"/>
    </row>
    <row r="745" spans="2:2" ht="12.75">
      <c r="B745" s="114"/>
    </row>
    <row r="746" spans="2:2" ht="12.75">
      <c r="B746" s="114"/>
    </row>
    <row r="747" spans="2:2" ht="12.75">
      <c r="B747" s="114"/>
    </row>
    <row r="748" spans="2:2" ht="12.75">
      <c r="B748" s="114"/>
    </row>
    <row r="749" spans="2:2" ht="12.75">
      <c r="B749" s="114"/>
    </row>
    <row r="750" spans="2:2" ht="12.75">
      <c r="B750" s="114"/>
    </row>
    <row r="751" spans="2:2" ht="12.75">
      <c r="B751" s="114"/>
    </row>
    <row r="752" spans="2:2" ht="12.75">
      <c r="B752" s="114"/>
    </row>
    <row r="753" spans="2:2" ht="12.75">
      <c r="B753" s="114"/>
    </row>
    <row r="754" spans="2:2" ht="12.75">
      <c r="B754" s="114"/>
    </row>
    <row r="755" spans="2:2" ht="12.75">
      <c r="B755" s="114"/>
    </row>
    <row r="756" spans="2:2" ht="12.75">
      <c r="B756" s="114"/>
    </row>
    <row r="757" spans="2:2" ht="12.75">
      <c r="B757" s="114"/>
    </row>
    <row r="758" spans="2:2" ht="12.75">
      <c r="B758" s="114"/>
    </row>
    <row r="759" spans="2:2" ht="12.75">
      <c r="B759" s="114"/>
    </row>
    <row r="760" spans="2:2" ht="12.75">
      <c r="B760" s="114"/>
    </row>
    <row r="761" spans="2:2" ht="12.75">
      <c r="B761" s="114"/>
    </row>
    <row r="762" spans="2:2" ht="12.75">
      <c r="B762" s="114"/>
    </row>
    <row r="763" spans="2:2" ht="12.75">
      <c r="B763" s="114"/>
    </row>
    <row r="764" spans="2:2" ht="12.75">
      <c r="B764" s="114"/>
    </row>
    <row r="765" spans="2:2" ht="12.75">
      <c r="B765" s="114"/>
    </row>
    <row r="766" spans="2:2" ht="12.75">
      <c r="B766" s="114"/>
    </row>
    <row r="767" spans="2:2" ht="12.75">
      <c r="B767" s="114"/>
    </row>
    <row r="768" spans="2:2" ht="12.75">
      <c r="B768" s="114"/>
    </row>
    <row r="769" spans="2:2" ht="12.75">
      <c r="B769" s="114"/>
    </row>
    <row r="770" spans="2:2" ht="12.75">
      <c r="B770" s="114"/>
    </row>
    <row r="771" spans="2:2" ht="12.75">
      <c r="B771" s="114"/>
    </row>
    <row r="772" spans="2:2" ht="12.75">
      <c r="B772" s="114"/>
    </row>
    <row r="773" spans="2:2" ht="12.75">
      <c r="B773" s="114"/>
    </row>
    <row r="774" spans="2:2" ht="12.75">
      <c r="B774" s="114"/>
    </row>
    <row r="775" spans="2:2" ht="12.75">
      <c r="B775" s="114"/>
    </row>
    <row r="776" spans="2:2" ht="12.75">
      <c r="B776" s="114"/>
    </row>
    <row r="777" spans="2:2" ht="12.75">
      <c r="B777" s="114"/>
    </row>
    <row r="778" spans="2:2" ht="12.75">
      <c r="B778" s="114"/>
    </row>
    <row r="779" spans="2:2" ht="12.75">
      <c r="B779" s="114"/>
    </row>
    <row r="780" spans="2:2" ht="12.75">
      <c r="B780" s="114"/>
    </row>
    <row r="781" spans="2:2" ht="12.75">
      <c r="B781" s="114"/>
    </row>
    <row r="782" spans="2:2" ht="12.75">
      <c r="B782" s="114"/>
    </row>
    <row r="783" spans="2:2" ht="12.75">
      <c r="B783" s="114"/>
    </row>
    <row r="784" spans="2:2" ht="12.75">
      <c r="B784" s="114"/>
    </row>
    <row r="785" spans="2:2" ht="12.75">
      <c r="B785" s="114"/>
    </row>
    <row r="786" spans="2:2" ht="12.75">
      <c r="B786" s="114"/>
    </row>
    <row r="787" spans="2:2" ht="12.75">
      <c r="B787" s="114"/>
    </row>
    <row r="788" spans="2:2" ht="12.75">
      <c r="B788" s="114"/>
    </row>
    <row r="789" spans="2:2" ht="12.75">
      <c r="B789" s="114"/>
    </row>
    <row r="790" spans="2:2" ht="12.75">
      <c r="B790" s="114"/>
    </row>
    <row r="791" spans="2:2" ht="12.75">
      <c r="B791" s="114"/>
    </row>
    <row r="792" spans="2:2" ht="12.75">
      <c r="B792" s="114"/>
    </row>
    <row r="793" spans="2:2" ht="12.75">
      <c r="B793" s="114"/>
    </row>
    <row r="794" spans="2:2" ht="12.75">
      <c r="B794" s="114"/>
    </row>
    <row r="795" spans="2:2" ht="12.75">
      <c r="B795" s="114"/>
    </row>
    <row r="796" spans="2:2" ht="12.75">
      <c r="B796" s="114"/>
    </row>
    <row r="797" spans="2:2" ht="12.75">
      <c r="B797" s="114"/>
    </row>
    <row r="798" spans="2:2" ht="12.75">
      <c r="B798" s="114"/>
    </row>
    <row r="799" spans="2:2" ht="12.75">
      <c r="B799" s="114"/>
    </row>
    <row r="800" spans="2:2" ht="12.75">
      <c r="B800" s="114"/>
    </row>
    <row r="801" spans="2:2" ht="12.75">
      <c r="B801" s="114"/>
    </row>
    <row r="802" spans="2:2" ht="12.75">
      <c r="B802" s="114"/>
    </row>
    <row r="803" spans="2:2" ht="12.75">
      <c r="B803" s="114"/>
    </row>
    <row r="804" spans="2:2" ht="12.75">
      <c r="B804" s="114"/>
    </row>
    <row r="805" spans="2:2" ht="12.75">
      <c r="B805" s="114"/>
    </row>
    <row r="806" spans="2:2" ht="12.75">
      <c r="B806" s="114"/>
    </row>
    <row r="807" spans="2:2" ht="12.75">
      <c r="B807" s="114"/>
    </row>
    <row r="808" spans="2:2" ht="12.75">
      <c r="B808" s="114"/>
    </row>
    <row r="809" spans="2:2" ht="12.75">
      <c r="B809" s="114"/>
    </row>
    <row r="810" spans="2:2" ht="12.75">
      <c r="B810" s="114"/>
    </row>
    <row r="811" spans="2:2" ht="12.75">
      <c r="B811" s="114"/>
    </row>
    <row r="812" spans="2:2" ht="12.75">
      <c r="B812" s="114"/>
    </row>
    <row r="813" spans="2:2" ht="12.75">
      <c r="B813" s="114"/>
    </row>
    <row r="814" spans="2:2" ht="12.75">
      <c r="B814" s="114"/>
    </row>
    <row r="815" spans="2:2" ht="12.75">
      <c r="B815" s="114"/>
    </row>
    <row r="816" spans="2:2" ht="12.75">
      <c r="B816" s="114"/>
    </row>
    <row r="817" spans="2:2" ht="12.75">
      <c r="B817" s="114"/>
    </row>
    <row r="818" spans="2:2" ht="12.75">
      <c r="B818" s="114"/>
    </row>
    <row r="819" spans="2:2" ht="12.75">
      <c r="B819" s="114"/>
    </row>
    <row r="820" spans="2:2" ht="12.75">
      <c r="B820" s="114"/>
    </row>
    <row r="821" spans="2:2" ht="12.75">
      <c r="B821" s="114"/>
    </row>
    <row r="822" spans="2:2" ht="12.75">
      <c r="B822" s="114"/>
    </row>
    <row r="823" spans="2:2" ht="12.75">
      <c r="B823" s="114"/>
    </row>
    <row r="824" spans="2:2" ht="12.75">
      <c r="B824" s="114"/>
    </row>
    <row r="825" spans="2:2" ht="12.75">
      <c r="B825" s="114"/>
    </row>
    <row r="826" spans="2:2" ht="12.75">
      <c r="B826" s="114"/>
    </row>
    <row r="827" spans="2:2" ht="12.75">
      <c r="B827" s="114"/>
    </row>
    <row r="828" spans="2:2" ht="12.75">
      <c r="B828" s="114"/>
    </row>
    <row r="829" spans="2:2" ht="12.75">
      <c r="B829" s="114"/>
    </row>
    <row r="830" spans="2:2" ht="12.75">
      <c r="B830" s="114"/>
    </row>
    <row r="831" spans="2:2" ht="12.75">
      <c r="B831" s="114"/>
    </row>
    <row r="832" spans="2:2" ht="12.75">
      <c r="B832" s="114"/>
    </row>
    <row r="833" spans="2:2" ht="12.75">
      <c r="B833" s="114"/>
    </row>
    <row r="834" spans="2:2" ht="12.75">
      <c r="B834" s="114"/>
    </row>
    <row r="835" spans="2:2" ht="12.75">
      <c r="B835" s="114"/>
    </row>
    <row r="836" spans="2:2" ht="12.75">
      <c r="B836" s="114"/>
    </row>
    <row r="837" spans="2:2" ht="12.75">
      <c r="B837" s="114"/>
    </row>
    <row r="838" spans="2:2" ht="12.75">
      <c r="B838" s="114"/>
    </row>
    <row r="839" spans="2:2" ht="12.75">
      <c r="B839" s="114"/>
    </row>
    <row r="840" spans="2:2" ht="12.75">
      <c r="B840" s="114"/>
    </row>
    <row r="841" spans="2:2" ht="12.75">
      <c r="B841" s="114"/>
    </row>
    <row r="842" spans="2:2" ht="12.75">
      <c r="B842" s="114"/>
    </row>
    <row r="843" spans="2:2" ht="12.75">
      <c r="B843" s="114"/>
    </row>
    <row r="844" spans="2:2" ht="12.75">
      <c r="B844" s="114"/>
    </row>
    <row r="845" spans="2:2" ht="12.75">
      <c r="B845" s="114"/>
    </row>
    <row r="846" spans="2:2" ht="12.75">
      <c r="B846" s="114"/>
    </row>
    <row r="847" spans="2:2" ht="12.75">
      <c r="B847" s="114"/>
    </row>
    <row r="848" spans="2:2" ht="12.75">
      <c r="B848" s="114"/>
    </row>
    <row r="849" spans="2:2" ht="12.75">
      <c r="B849" s="114"/>
    </row>
    <row r="850" spans="2:2" ht="12.75">
      <c r="B850" s="114"/>
    </row>
    <row r="851" spans="2:2" ht="12.75">
      <c r="B851" s="114"/>
    </row>
    <row r="852" spans="2:2" ht="12.75">
      <c r="B852" s="114"/>
    </row>
    <row r="853" spans="2:2" ht="12.75">
      <c r="B853" s="114"/>
    </row>
    <row r="854" spans="2:2" ht="12.75">
      <c r="B854" s="114"/>
    </row>
    <row r="855" spans="2:2" ht="12.75">
      <c r="B855" s="114"/>
    </row>
    <row r="856" spans="2:2" ht="12.75">
      <c r="B856" s="114"/>
    </row>
    <row r="857" spans="2:2" ht="12.75">
      <c r="B857" s="114"/>
    </row>
    <row r="858" spans="2:2" ht="12.75">
      <c r="B858" s="114"/>
    </row>
    <row r="859" spans="2:2" ht="12.75">
      <c r="B859" s="114"/>
    </row>
    <row r="860" spans="2:2" ht="12.75">
      <c r="B860" s="114"/>
    </row>
    <row r="861" spans="2:2" ht="12.75">
      <c r="B861" s="114"/>
    </row>
    <row r="862" spans="2:2" ht="12.75">
      <c r="B862" s="114"/>
    </row>
    <row r="863" spans="2:2" ht="12.75">
      <c r="B863" s="114"/>
    </row>
    <row r="864" spans="2:2" ht="12.75">
      <c r="B864" s="114"/>
    </row>
    <row r="865" spans="2:2" ht="12.75">
      <c r="B865" s="114"/>
    </row>
    <row r="866" spans="2:2" ht="12.75">
      <c r="B866" s="114"/>
    </row>
    <row r="867" spans="2:2" ht="12.75">
      <c r="B867" s="114"/>
    </row>
    <row r="868" spans="2:2" ht="12.75">
      <c r="B868" s="114"/>
    </row>
    <row r="869" spans="2:2" ht="12.75">
      <c r="B869" s="114"/>
    </row>
    <row r="870" spans="2:2" ht="12.75">
      <c r="B870" s="114"/>
    </row>
    <row r="871" spans="2:2" ht="12.75">
      <c r="B871" s="114"/>
    </row>
    <row r="872" spans="2:2" ht="12.75">
      <c r="B872" s="114"/>
    </row>
    <row r="873" spans="2:2" ht="12.75">
      <c r="B873" s="114"/>
    </row>
    <row r="874" spans="2:2" ht="12.75">
      <c r="B874" s="114"/>
    </row>
    <row r="875" spans="2:2" ht="12.75">
      <c r="B875" s="114"/>
    </row>
    <row r="876" spans="2:2" ht="12.75">
      <c r="B876" s="114"/>
    </row>
    <row r="877" spans="2:2" ht="12.75">
      <c r="B877" s="114"/>
    </row>
    <row r="878" spans="2:2" ht="12.75">
      <c r="B878" s="114"/>
    </row>
    <row r="879" spans="2:2" ht="12.75">
      <c r="B879" s="114"/>
    </row>
    <row r="880" spans="2:2" ht="12.75">
      <c r="B880" s="114"/>
    </row>
    <row r="881" spans="2:2" ht="12.75">
      <c r="B881" s="114"/>
    </row>
    <row r="882" spans="2:2" ht="12.75">
      <c r="B882" s="114"/>
    </row>
    <row r="883" spans="2:2" ht="12.75">
      <c r="B883" s="114"/>
    </row>
    <row r="884" spans="2:2" ht="12.75">
      <c r="B884" s="114"/>
    </row>
    <row r="885" spans="2:2" ht="12.75">
      <c r="B885" s="114"/>
    </row>
    <row r="886" spans="2:2" ht="12.75">
      <c r="B886" s="114"/>
    </row>
    <row r="887" spans="2:2" ht="12.75">
      <c r="B887" s="114"/>
    </row>
    <row r="888" spans="2:2" ht="12.75">
      <c r="B888" s="114"/>
    </row>
    <row r="889" spans="2:2" ht="12.75">
      <c r="B889" s="114"/>
    </row>
    <row r="890" spans="2:2" ht="12.75">
      <c r="B890" s="114"/>
    </row>
    <row r="891" spans="2:2" ht="12.75">
      <c r="B891" s="114"/>
    </row>
    <row r="892" spans="2:2" ht="12.75">
      <c r="B892" s="114"/>
    </row>
    <row r="893" spans="2:2" ht="12.75">
      <c r="B893" s="114"/>
    </row>
    <row r="894" spans="2:2" ht="12.75">
      <c r="B894" s="114"/>
    </row>
    <row r="895" spans="2:2" ht="12.75">
      <c r="B895" s="114"/>
    </row>
    <row r="896" spans="2:2" ht="12.75">
      <c r="B896" s="114"/>
    </row>
    <row r="897" spans="2:2" ht="12.75">
      <c r="B897" s="114"/>
    </row>
    <row r="898" spans="2:2" ht="12.75">
      <c r="B898" s="114"/>
    </row>
    <row r="899" spans="2:2" ht="12.75">
      <c r="B899" s="114"/>
    </row>
    <row r="900" spans="2:2" ht="12.75">
      <c r="B900" s="114"/>
    </row>
    <row r="901" spans="2:2" ht="12.75">
      <c r="B901" s="114"/>
    </row>
    <row r="902" spans="2:2" ht="12.75">
      <c r="B902" s="114"/>
    </row>
    <row r="903" spans="2:2" ht="12.75">
      <c r="B903" s="114"/>
    </row>
    <row r="904" spans="2:2" ht="12.75">
      <c r="B904" s="114"/>
    </row>
    <row r="905" spans="2:2" ht="12.75">
      <c r="B905" s="114"/>
    </row>
    <row r="906" spans="2:2" ht="12.75">
      <c r="B906" s="114"/>
    </row>
    <row r="907" spans="2:2" ht="12.75">
      <c r="B907" s="114"/>
    </row>
    <row r="908" spans="2:2" ht="12.75">
      <c r="B908" s="114"/>
    </row>
    <row r="909" spans="2:2" ht="12.75">
      <c r="B909" s="114"/>
    </row>
    <row r="910" spans="2:2" ht="12.75">
      <c r="B910" s="114"/>
    </row>
    <row r="911" spans="2:2" ht="12.75">
      <c r="B911" s="114"/>
    </row>
    <row r="912" spans="2:2" ht="12.75">
      <c r="B912" s="114"/>
    </row>
    <row r="913" spans="2:2" ht="12.75">
      <c r="B913" s="114"/>
    </row>
    <row r="914" spans="2:2" ht="12.75">
      <c r="B914" s="114"/>
    </row>
    <row r="915" spans="2:2" ht="12.75">
      <c r="B915" s="114"/>
    </row>
    <row r="916" spans="2:2" ht="12.75">
      <c r="B916" s="114"/>
    </row>
    <row r="917" spans="2:2" ht="12.75">
      <c r="B917" s="114"/>
    </row>
    <row r="918" spans="2:2" ht="12.75">
      <c r="B918" s="114"/>
    </row>
    <row r="919" spans="2:2" ht="12.75">
      <c r="B919" s="114"/>
    </row>
    <row r="920" spans="2:2" ht="12.75">
      <c r="B920" s="114"/>
    </row>
    <row r="921" spans="2:2" ht="12.75">
      <c r="B921" s="114"/>
    </row>
    <row r="922" spans="2:2" ht="12.75">
      <c r="B922" s="114"/>
    </row>
    <row r="923" spans="2:2" ht="12.75">
      <c r="B923" s="114"/>
    </row>
    <row r="924" spans="2:2" ht="12.75">
      <c r="B924" s="114"/>
    </row>
    <row r="925" spans="2:2" ht="12.75">
      <c r="B925" s="114"/>
    </row>
    <row r="926" spans="2:2" ht="12.75">
      <c r="B926" s="114"/>
    </row>
    <row r="927" spans="2:2" ht="12.75">
      <c r="B927" s="114"/>
    </row>
    <row r="928" spans="2:2" ht="12.75">
      <c r="B928" s="114"/>
    </row>
    <row r="929" spans="2:2" ht="12.75">
      <c r="B929" s="114"/>
    </row>
    <row r="930" spans="2:2" ht="12.75">
      <c r="B930" s="114"/>
    </row>
    <row r="931" spans="2:2" ht="12.75">
      <c r="B931" s="114"/>
    </row>
    <row r="932" spans="2:2" ht="12.75">
      <c r="B932" s="114"/>
    </row>
    <row r="933" spans="2:2" ht="12.75">
      <c r="B933" s="114"/>
    </row>
    <row r="934" spans="2:2" ht="12.75">
      <c r="B934" s="114"/>
    </row>
    <row r="935" spans="2:2" ht="12.75">
      <c r="B935" s="114"/>
    </row>
    <row r="936" spans="2:2" ht="12.75">
      <c r="B936" s="114"/>
    </row>
    <row r="937" spans="2:2" ht="12.75">
      <c r="B937" s="114"/>
    </row>
    <row r="938" spans="2:2" ht="12.75">
      <c r="B938" s="114"/>
    </row>
    <row r="939" spans="2:2" ht="12.75">
      <c r="B939" s="114"/>
    </row>
    <row r="940" spans="2:2" ht="12.75">
      <c r="B940" s="114"/>
    </row>
    <row r="941" spans="2:2" ht="12.75">
      <c r="B941" s="114"/>
    </row>
  </sheetData>
  <mergeCells count="5">
    <mergeCell ref="A11:D11"/>
    <mergeCell ref="A13:I13"/>
    <mergeCell ref="K13:Q13"/>
    <mergeCell ref="A38:G38"/>
    <mergeCell ref="A40:I40"/>
  </mergeCells>
  <hyperlinks>
    <hyperlink ref="B31" r:id="rId1" xr:uid="{00000000-0004-0000-1E00-000000000000}"/>
    <hyperlink ref="B34" r:id="rId2" xr:uid="{00000000-0004-0000-1E00-000001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AA74"/>
  <sheetViews>
    <sheetView workbookViewId="0"/>
  </sheetViews>
  <sheetFormatPr defaultColWidth="12.5703125" defaultRowHeight="15.75" customHeight="1"/>
  <cols>
    <col min="1" max="1" width="4.85546875" customWidth="1"/>
    <col min="2" max="2" width="50" customWidth="1"/>
    <col min="6" max="6" width="12" customWidth="1"/>
    <col min="11" max="11" width="11.42578125" customWidth="1"/>
    <col min="17" max="17" width="14.28515625" customWidth="1"/>
  </cols>
  <sheetData>
    <row r="1" spans="1:27">
      <c r="A1" s="11" t="s">
        <v>11</v>
      </c>
      <c r="B1" s="11" t="s">
        <v>12</v>
      </c>
      <c r="C1" s="11" t="s">
        <v>3</v>
      </c>
      <c r="D1" s="11" t="s">
        <v>13</v>
      </c>
      <c r="E1" s="11" t="s">
        <v>4</v>
      </c>
      <c r="F1" s="12"/>
      <c r="G1" s="12"/>
      <c r="H1" s="12"/>
      <c r="I1" s="12"/>
      <c r="J1" s="12"/>
      <c r="K1" s="12"/>
      <c r="L1" s="12"/>
      <c r="M1" s="12"/>
      <c r="N1" s="12"/>
      <c r="O1" s="12"/>
      <c r="P1" s="12"/>
      <c r="Q1" s="12"/>
    </row>
    <row r="2" spans="1:27">
      <c r="A2" s="13">
        <v>1</v>
      </c>
      <c r="B2" s="14" t="s">
        <v>14</v>
      </c>
      <c r="C2" s="15">
        <v>32.5</v>
      </c>
      <c r="D2" s="15">
        <v>30</v>
      </c>
      <c r="E2" s="339">
        <f t="shared" ref="E2:E11" si="0">D2*C2</f>
        <v>975</v>
      </c>
      <c r="F2" s="12"/>
      <c r="G2" s="12"/>
      <c r="H2" s="12"/>
      <c r="I2" s="12"/>
      <c r="J2" s="12"/>
      <c r="K2" s="12"/>
      <c r="L2" s="12"/>
      <c r="M2" s="12"/>
      <c r="N2" s="12"/>
      <c r="O2" s="12"/>
      <c r="P2" s="12"/>
      <c r="Q2" s="12"/>
    </row>
    <row r="3" spans="1:27">
      <c r="A3" s="13">
        <v>2</v>
      </c>
      <c r="B3" s="14" t="s">
        <v>15</v>
      </c>
      <c r="C3" s="17">
        <v>207.5</v>
      </c>
      <c r="D3" s="17">
        <v>25</v>
      </c>
      <c r="E3" s="339">
        <f t="shared" si="0"/>
        <v>5187.5</v>
      </c>
      <c r="F3" s="12"/>
      <c r="G3" s="12"/>
      <c r="H3" s="12"/>
      <c r="I3" s="12"/>
      <c r="J3" s="12"/>
      <c r="K3" s="12"/>
      <c r="L3" s="12"/>
      <c r="M3" s="12"/>
      <c r="N3" s="12"/>
      <c r="O3" s="12"/>
      <c r="P3" s="12"/>
      <c r="Q3" s="12"/>
    </row>
    <row r="4" spans="1:27">
      <c r="A4" s="13">
        <v>3</v>
      </c>
      <c r="B4" s="14" t="s">
        <v>16</v>
      </c>
      <c r="C4" s="17">
        <v>29</v>
      </c>
      <c r="D4" s="17">
        <v>25</v>
      </c>
      <c r="E4" s="339">
        <f t="shared" si="0"/>
        <v>725</v>
      </c>
      <c r="F4" s="12"/>
      <c r="G4" s="12"/>
      <c r="H4" s="12"/>
      <c r="I4" s="12"/>
      <c r="J4" s="12"/>
      <c r="K4" s="12"/>
      <c r="L4" s="12"/>
      <c r="M4" s="12"/>
      <c r="N4" s="12"/>
      <c r="O4" s="12"/>
      <c r="P4" s="12"/>
      <c r="Q4" s="12"/>
    </row>
    <row r="5" spans="1:27">
      <c r="A5" s="13">
        <v>4</v>
      </c>
      <c r="B5" s="18" t="s">
        <v>17</v>
      </c>
      <c r="C5" s="19">
        <v>30</v>
      </c>
      <c r="D5" s="19">
        <v>50</v>
      </c>
      <c r="E5" s="340">
        <f t="shared" si="0"/>
        <v>1500</v>
      </c>
      <c r="F5" s="12"/>
      <c r="G5" s="12"/>
      <c r="H5" s="12"/>
      <c r="I5" s="12"/>
      <c r="J5" s="12"/>
      <c r="K5" s="12"/>
      <c r="L5" s="12"/>
      <c r="M5" s="12"/>
      <c r="N5" s="12"/>
      <c r="O5" s="12"/>
      <c r="P5" s="12"/>
      <c r="Q5" s="12"/>
    </row>
    <row r="6" spans="1:27">
      <c r="A6" s="13">
        <v>5</v>
      </c>
      <c r="B6" s="20" t="s">
        <v>18</v>
      </c>
      <c r="C6" s="341">
        <v>183</v>
      </c>
      <c r="D6" s="21">
        <v>40</v>
      </c>
      <c r="E6" s="342">
        <f t="shared" si="0"/>
        <v>7320</v>
      </c>
      <c r="F6" s="12"/>
      <c r="G6" s="12"/>
      <c r="H6" s="12"/>
      <c r="I6" s="12"/>
      <c r="J6" s="12"/>
      <c r="K6" s="12"/>
      <c r="L6" s="12"/>
      <c r="M6" s="12"/>
      <c r="N6" s="12"/>
      <c r="O6" s="12"/>
      <c r="P6" s="12"/>
      <c r="Q6" s="12"/>
    </row>
    <row r="7" spans="1:27">
      <c r="A7" s="13">
        <v>6</v>
      </c>
      <c r="B7" s="20" t="s">
        <v>19</v>
      </c>
      <c r="C7" s="22">
        <v>185</v>
      </c>
      <c r="D7" s="22">
        <v>40</v>
      </c>
      <c r="E7" s="342">
        <f t="shared" si="0"/>
        <v>7400</v>
      </c>
      <c r="F7" s="12"/>
      <c r="G7" s="12"/>
      <c r="H7" s="12"/>
      <c r="I7" s="12"/>
      <c r="J7" s="12"/>
      <c r="K7" s="12"/>
      <c r="L7" s="12"/>
      <c r="M7" s="12"/>
      <c r="N7" s="12"/>
      <c r="O7" s="12"/>
      <c r="P7" s="12"/>
      <c r="Q7" s="12"/>
    </row>
    <row r="8" spans="1:27">
      <c r="A8" s="13">
        <v>7</v>
      </c>
      <c r="B8" s="20" t="s">
        <v>350</v>
      </c>
      <c r="C8" s="21">
        <v>6</v>
      </c>
      <c r="D8" s="21">
        <v>40</v>
      </c>
      <c r="E8" s="342">
        <f t="shared" si="0"/>
        <v>240</v>
      </c>
      <c r="F8" s="12"/>
      <c r="G8" s="12"/>
      <c r="H8" s="12"/>
      <c r="I8" s="12"/>
      <c r="J8" s="12"/>
      <c r="K8" s="12"/>
      <c r="L8" s="12"/>
      <c r="M8" s="12"/>
      <c r="N8" s="12"/>
      <c r="O8" s="12"/>
      <c r="P8" s="12"/>
      <c r="Q8" s="12"/>
    </row>
    <row r="9" spans="1:27">
      <c r="A9" s="13">
        <v>8</v>
      </c>
      <c r="B9" s="23" t="s">
        <v>20</v>
      </c>
      <c r="C9" s="24">
        <v>225</v>
      </c>
      <c r="D9" s="24">
        <v>35</v>
      </c>
      <c r="E9" s="343">
        <f t="shared" si="0"/>
        <v>7875</v>
      </c>
      <c r="F9" s="12"/>
      <c r="G9" s="12"/>
      <c r="H9" s="12"/>
      <c r="I9" s="12"/>
      <c r="J9" s="12"/>
      <c r="K9" s="12"/>
      <c r="L9" s="12"/>
      <c r="M9" s="12"/>
      <c r="N9" s="12"/>
      <c r="O9" s="12"/>
      <c r="P9" s="12"/>
      <c r="Q9" s="12"/>
    </row>
    <row r="10" spans="1:27">
      <c r="A10" s="13">
        <v>9</v>
      </c>
      <c r="B10" s="23" t="s">
        <v>351</v>
      </c>
      <c r="C10" s="26">
        <v>34.5</v>
      </c>
      <c r="D10" s="26">
        <v>35</v>
      </c>
      <c r="E10" s="343">
        <f t="shared" si="0"/>
        <v>1207.5</v>
      </c>
      <c r="F10" s="12"/>
      <c r="G10" s="12"/>
      <c r="H10" s="12"/>
      <c r="I10" s="12"/>
      <c r="J10" s="12"/>
      <c r="K10" s="12"/>
      <c r="L10" s="12"/>
      <c r="M10" s="12"/>
      <c r="N10" s="12"/>
      <c r="O10" s="12"/>
      <c r="P10" s="12"/>
      <c r="Q10" s="12"/>
    </row>
    <row r="11" spans="1:27">
      <c r="A11" s="50">
        <v>10</v>
      </c>
      <c r="B11" s="25" t="s">
        <v>21</v>
      </c>
      <c r="C11" s="24">
        <v>36.299999999999997</v>
      </c>
      <c r="D11" s="24">
        <v>25</v>
      </c>
      <c r="E11" s="343">
        <f t="shared" si="0"/>
        <v>907.49999999999989</v>
      </c>
      <c r="F11" s="12"/>
      <c r="G11" s="12"/>
      <c r="H11" s="12"/>
      <c r="I11" s="12"/>
      <c r="J11" s="12"/>
      <c r="K11" s="12"/>
      <c r="L11" s="12"/>
      <c r="M11" s="12"/>
      <c r="N11" s="12"/>
      <c r="O11" s="12"/>
      <c r="P11" s="12"/>
      <c r="Q11" s="12"/>
    </row>
    <row r="12" spans="1:27">
      <c r="A12" s="474"/>
      <c r="B12" s="475"/>
      <c r="C12" s="475"/>
      <c r="D12" s="476"/>
      <c r="E12" s="344">
        <f>SUM(E2:E11)</f>
        <v>33337.5</v>
      </c>
      <c r="F12" s="12"/>
      <c r="G12" s="12"/>
      <c r="H12" s="12"/>
      <c r="I12" s="12"/>
      <c r="J12" s="12"/>
      <c r="K12" s="12"/>
      <c r="L12" s="12"/>
      <c r="M12" s="12"/>
      <c r="N12" s="12"/>
      <c r="O12" s="12"/>
      <c r="P12" s="12"/>
      <c r="Q12" s="12"/>
    </row>
    <row r="13" spans="1:27">
      <c r="A13" s="12"/>
      <c r="B13" s="12"/>
      <c r="C13" s="16"/>
      <c r="D13" s="16"/>
      <c r="E13" s="16"/>
      <c r="F13" s="16"/>
      <c r="G13" s="16"/>
      <c r="H13" s="16"/>
      <c r="I13" s="16"/>
      <c r="J13" s="12"/>
      <c r="K13" s="12"/>
      <c r="L13" s="12"/>
      <c r="M13" s="12"/>
      <c r="N13" s="12"/>
      <c r="O13" s="12"/>
      <c r="P13" s="12"/>
      <c r="Q13" s="12"/>
    </row>
    <row r="14" spans="1:27">
      <c r="A14" s="493"/>
      <c r="B14" s="478"/>
      <c r="C14" s="479" t="s">
        <v>22</v>
      </c>
      <c r="D14" s="480"/>
      <c r="E14" s="480"/>
      <c r="F14" s="480"/>
      <c r="G14" s="480"/>
      <c r="H14" s="480"/>
      <c r="I14" s="478"/>
      <c r="J14" s="36" t="s">
        <v>5</v>
      </c>
      <c r="K14" s="483" t="s">
        <v>23</v>
      </c>
      <c r="L14" s="480"/>
      <c r="M14" s="480"/>
      <c r="N14" s="480"/>
      <c r="O14" s="480"/>
      <c r="P14" s="480"/>
      <c r="Q14" s="478"/>
      <c r="R14" s="114"/>
      <c r="S14" s="114"/>
      <c r="T14" s="114"/>
      <c r="U14" s="114"/>
      <c r="V14" s="114"/>
      <c r="W14" s="114"/>
      <c r="X14" s="114"/>
      <c r="Y14" s="114"/>
      <c r="Z14" s="114"/>
      <c r="AA14" s="114"/>
    </row>
    <row r="15" spans="1:27">
      <c r="A15" s="345" t="s">
        <v>11</v>
      </c>
      <c r="B15" s="282" t="s">
        <v>0</v>
      </c>
      <c r="C15" s="282" t="s">
        <v>24</v>
      </c>
      <c r="D15" s="282" t="s">
        <v>25</v>
      </c>
      <c r="E15" s="282" t="s">
        <v>26</v>
      </c>
      <c r="F15" s="282" t="s">
        <v>27</v>
      </c>
      <c r="G15" s="282" t="s">
        <v>28</v>
      </c>
      <c r="H15" s="147" t="s">
        <v>21</v>
      </c>
      <c r="I15" s="283" t="s">
        <v>29</v>
      </c>
      <c r="J15" s="34"/>
      <c r="K15" s="346" t="s">
        <v>24</v>
      </c>
      <c r="L15" s="346" t="s">
        <v>25</v>
      </c>
      <c r="M15" s="346" t="s">
        <v>26</v>
      </c>
      <c r="N15" s="346" t="s">
        <v>27</v>
      </c>
      <c r="O15" s="346" t="s">
        <v>28</v>
      </c>
      <c r="P15" s="346" t="s">
        <v>21</v>
      </c>
      <c r="Q15" s="285" t="s">
        <v>30</v>
      </c>
    </row>
    <row r="16" spans="1:27">
      <c r="A16" s="347"/>
      <c r="B16" s="11" t="s">
        <v>505</v>
      </c>
      <c r="C16" s="13">
        <v>46</v>
      </c>
      <c r="D16" s="13">
        <v>8</v>
      </c>
      <c r="E16" s="13">
        <v>6</v>
      </c>
      <c r="F16" s="348"/>
      <c r="G16" s="348"/>
      <c r="H16" s="348"/>
      <c r="I16" s="349">
        <f t="shared" ref="I16:I48" si="1">C16*25+D16*30+E16*50+F16*40+G16*35+H16*25</f>
        <v>1690</v>
      </c>
      <c r="J16" s="34"/>
      <c r="K16" s="350">
        <v>60</v>
      </c>
      <c r="L16" s="350">
        <v>5</v>
      </c>
      <c r="M16" s="350">
        <v>8</v>
      </c>
      <c r="N16" s="351"/>
      <c r="O16" s="351"/>
      <c r="P16" s="351"/>
      <c r="Q16" s="45">
        <f t="shared" ref="Q16:Q21" si="2">K16*25+L16*30+M16*50+N16*40+O16*35+P16*25</f>
        <v>2050</v>
      </c>
    </row>
    <row r="17" spans="1:17">
      <c r="A17" s="352" t="s">
        <v>460</v>
      </c>
      <c r="B17" s="51" t="s">
        <v>506</v>
      </c>
      <c r="C17" s="51"/>
      <c r="D17" s="51"/>
      <c r="E17" s="51"/>
      <c r="F17" s="353">
        <v>24.5</v>
      </c>
      <c r="G17" s="353">
        <v>13.5</v>
      </c>
      <c r="H17" s="348"/>
      <c r="I17" s="349">
        <f t="shared" si="1"/>
        <v>1452.5</v>
      </c>
      <c r="J17" s="34" t="s">
        <v>31</v>
      </c>
      <c r="K17" s="351"/>
      <c r="L17" s="351"/>
      <c r="M17" s="351"/>
      <c r="N17" s="350">
        <v>32</v>
      </c>
      <c r="O17" s="350">
        <v>6</v>
      </c>
      <c r="P17" s="351"/>
      <c r="Q17" s="45">
        <f t="shared" si="2"/>
        <v>1490</v>
      </c>
    </row>
    <row r="18" spans="1:17">
      <c r="A18" s="352" t="s">
        <v>472</v>
      </c>
      <c r="B18" s="354" t="s">
        <v>507</v>
      </c>
      <c r="C18" s="355"/>
      <c r="D18" s="355"/>
      <c r="E18" s="355"/>
      <c r="F18" s="356"/>
      <c r="G18" s="357">
        <v>38</v>
      </c>
      <c r="H18" s="356"/>
      <c r="I18" s="349">
        <f t="shared" si="1"/>
        <v>1330</v>
      </c>
      <c r="J18" s="34" t="s">
        <v>31</v>
      </c>
      <c r="K18" s="351"/>
      <c r="L18" s="351"/>
      <c r="M18" s="351"/>
      <c r="N18" s="351"/>
      <c r="O18" s="350">
        <v>28</v>
      </c>
      <c r="P18" s="351"/>
      <c r="Q18" s="45">
        <f t="shared" si="2"/>
        <v>980</v>
      </c>
    </row>
    <row r="19" spans="1:17">
      <c r="A19" s="352" t="s">
        <v>474</v>
      </c>
      <c r="B19" s="51" t="s">
        <v>508</v>
      </c>
      <c r="C19" s="51"/>
      <c r="D19" s="51"/>
      <c r="E19" s="51"/>
      <c r="F19" s="353">
        <v>24</v>
      </c>
      <c r="G19" s="353">
        <v>29</v>
      </c>
      <c r="H19" s="348"/>
      <c r="I19" s="349">
        <f t="shared" si="1"/>
        <v>1975</v>
      </c>
      <c r="J19" s="34" t="s">
        <v>31</v>
      </c>
      <c r="K19" s="351"/>
      <c r="L19" s="351"/>
      <c r="M19" s="351"/>
      <c r="N19" s="350">
        <v>16</v>
      </c>
      <c r="O19" s="350">
        <v>38</v>
      </c>
      <c r="P19" s="351"/>
      <c r="Q19" s="45">
        <f t="shared" si="2"/>
        <v>1970</v>
      </c>
    </row>
    <row r="20" spans="1:17">
      <c r="A20" s="352" t="s">
        <v>509</v>
      </c>
      <c r="B20" s="51" t="s">
        <v>510</v>
      </c>
      <c r="C20" s="51"/>
      <c r="D20" s="51"/>
      <c r="E20" s="51"/>
      <c r="F20" s="353">
        <v>12</v>
      </c>
      <c r="G20" s="353">
        <v>16</v>
      </c>
      <c r="H20" s="348"/>
      <c r="I20" s="349">
        <f t="shared" si="1"/>
        <v>1040</v>
      </c>
      <c r="J20" s="34" t="s">
        <v>31</v>
      </c>
      <c r="K20" s="351"/>
      <c r="L20" s="351"/>
      <c r="M20" s="351"/>
      <c r="N20" s="350">
        <v>6</v>
      </c>
      <c r="O20" s="350">
        <v>24</v>
      </c>
      <c r="P20" s="351"/>
      <c r="Q20" s="45">
        <f t="shared" si="2"/>
        <v>1080</v>
      </c>
    </row>
    <row r="21" spans="1:17">
      <c r="A21" s="352" t="s">
        <v>511</v>
      </c>
      <c r="B21" s="51" t="s">
        <v>512</v>
      </c>
      <c r="C21" s="51"/>
      <c r="D21" s="52"/>
      <c r="E21" s="51"/>
      <c r="F21" s="348"/>
      <c r="G21" s="348"/>
      <c r="H21" s="348"/>
      <c r="I21" s="349">
        <f t="shared" si="1"/>
        <v>0</v>
      </c>
      <c r="J21" s="34" t="s">
        <v>513</v>
      </c>
      <c r="K21" s="351"/>
      <c r="L21" s="351"/>
      <c r="M21" s="351"/>
      <c r="N21" s="350">
        <v>28</v>
      </c>
      <c r="O21" s="351"/>
      <c r="P21" s="351"/>
      <c r="Q21" s="45">
        <f t="shared" si="2"/>
        <v>1120</v>
      </c>
    </row>
    <row r="22" spans="1:17">
      <c r="A22" s="352" t="s">
        <v>514</v>
      </c>
      <c r="B22" s="51" t="s">
        <v>515</v>
      </c>
      <c r="C22" s="51"/>
      <c r="D22" s="51"/>
      <c r="E22" s="51"/>
      <c r="F22" s="353">
        <v>78</v>
      </c>
      <c r="G22" s="353">
        <f>23.5+6</f>
        <v>29.5</v>
      </c>
      <c r="H22" s="348"/>
      <c r="I22" s="349">
        <f t="shared" si="1"/>
        <v>4152.5</v>
      </c>
      <c r="J22" s="34" t="s">
        <v>31</v>
      </c>
      <c r="K22" s="351"/>
      <c r="L22" s="351"/>
      <c r="M22" s="351"/>
      <c r="N22" s="351"/>
      <c r="O22" s="351"/>
      <c r="P22" s="351"/>
      <c r="Q22" s="43"/>
    </row>
    <row r="23" spans="1:17">
      <c r="A23" s="352" t="s">
        <v>516</v>
      </c>
      <c r="B23" s="358" t="s">
        <v>517</v>
      </c>
      <c r="C23" s="358"/>
      <c r="D23" s="358"/>
      <c r="E23" s="358"/>
      <c r="F23" s="353">
        <v>16</v>
      </c>
      <c r="G23" s="348"/>
      <c r="H23" s="359"/>
      <c r="I23" s="349">
        <f t="shared" si="1"/>
        <v>640</v>
      </c>
      <c r="J23" s="34" t="s">
        <v>31</v>
      </c>
      <c r="K23" s="351"/>
      <c r="L23" s="351"/>
      <c r="M23" s="351"/>
      <c r="N23" s="350">
        <v>16</v>
      </c>
      <c r="O23" s="351"/>
      <c r="P23" s="351"/>
      <c r="Q23" s="45">
        <f t="shared" ref="Q23:Q40" si="3">K23*25+L23*30+M23*50+N23*40+O23*35+P23*25</f>
        <v>640</v>
      </c>
    </row>
    <row r="24" spans="1:17">
      <c r="A24" s="352" t="s">
        <v>518</v>
      </c>
      <c r="B24" s="358" t="s">
        <v>519</v>
      </c>
      <c r="C24" s="358"/>
      <c r="D24" s="358"/>
      <c r="E24" s="358"/>
      <c r="F24" s="353">
        <v>7</v>
      </c>
      <c r="G24" s="353">
        <v>30</v>
      </c>
      <c r="H24" s="359"/>
      <c r="I24" s="349">
        <f t="shared" si="1"/>
        <v>1330</v>
      </c>
      <c r="J24" s="34" t="s">
        <v>31</v>
      </c>
      <c r="K24" s="351"/>
      <c r="L24" s="351"/>
      <c r="M24" s="351"/>
      <c r="N24" s="350">
        <v>24</v>
      </c>
      <c r="O24" s="350">
        <v>38</v>
      </c>
      <c r="P24" s="351"/>
      <c r="Q24" s="45">
        <f t="shared" si="3"/>
        <v>2290</v>
      </c>
    </row>
    <row r="25" spans="1:17">
      <c r="A25" s="352" t="s">
        <v>520</v>
      </c>
      <c r="B25" s="51" t="s">
        <v>521</v>
      </c>
      <c r="C25" s="51"/>
      <c r="D25" s="51"/>
      <c r="E25" s="51"/>
      <c r="F25" s="348"/>
      <c r="G25" s="353">
        <v>18</v>
      </c>
      <c r="H25" s="348"/>
      <c r="I25" s="349">
        <f t="shared" si="1"/>
        <v>630</v>
      </c>
      <c r="J25" s="34" t="s">
        <v>31</v>
      </c>
      <c r="K25" s="351"/>
      <c r="L25" s="351"/>
      <c r="M25" s="351"/>
      <c r="N25" s="350">
        <v>4</v>
      </c>
      <c r="O25" s="350">
        <v>20</v>
      </c>
      <c r="P25" s="351"/>
      <c r="Q25" s="45">
        <f t="shared" si="3"/>
        <v>860</v>
      </c>
    </row>
    <row r="26" spans="1:17">
      <c r="A26" s="352" t="s">
        <v>522</v>
      </c>
      <c r="B26" s="11" t="s">
        <v>437</v>
      </c>
      <c r="C26" s="13">
        <v>55</v>
      </c>
      <c r="D26" s="13">
        <v>6</v>
      </c>
      <c r="E26" s="13">
        <v>4</v>
      </c>
      <c r="F26" s="348"/>
      <c r="G26" s="348"/>
      <c r="H26" s="353">
        <v>36.299999999999997</v>
      </c>
      <c r="I26" s="349">
        <f t="shared" si="1"/>
        <v>2662.5</v>
      </c>
      <c r="J26" s="34" t="s">
        <v>31</v>
      </c>
      <c r="K26" s="350">
        <v>60</v>
      </c>
      <c r="L26" s="350">
        <v>16</v>
      </c>
      <c r="M26" s="350">
        <v>3</v>
      </c>
      <c r="N26" s="351"/>
      <c r="O26" s="351"/>
      <c r="P26" s="350">
        <v>40</v>
      </c>
      <c r="Q26" s="45">
        <f t="shared" si="3"/>
        <v>3130</v>
      </c>
    </row>
    <row r="27" spans="1:17">
      <c r="A27" s="347"/>
      <c r="B27" s="11" t="s">
        <v>523</v>
      </c>
      <c r="C27" s="51"/>
      <c r="D27" s="51"/>
      <c r="E27" s="51"/>
      <c r="F27" s="348"/>
      <c r="G27" s="348"/>
      <c r="H27" s="348"/>
      <c r="I27" s="349">
        <f t="shared" si="1"/>
        <v>0</v>
      </c>
      <c r="J27" s="34"/>
      <c r="K27" s="351"/>
      <c r="L27" s="351"/>
      <c r="M27" s="351"/>
      <c r="N27" s="351"/>
      <c r="O27" s="351"/>
      <c r="P27" s="351"/>
      <c r="Q27" s="45">
        <f t="shared" si="3"/>
        <v>0</v>
      </c>
    </row>
    <row r="28" spans="1:17">
      <c r="A28" s="352" t="s">
        <v>524</v>
      </c>
      <c r="B28" s="51" t="s">
        <v>525</v>
      </c>
      <c r="C28" s="51"/>
      <c r="D28" s="51"/>
      <c r="E28" s="13">
        <v>1</v>
      </c>
      <c r="F28" s="353">
        <v>6</v>
      </c>
      <c r="G28" s="348"/>
      <c r="H28" s="348"/>
      <c r="I28" s="349">
        <f t="shared" si="1"/>
        <v>290</v>
      </c>
      <c r="J28" s="34" t="s">
        <v>31</v>
      </c>
      <c r="K28" s="351"/>
      <c r="L28" s="351"/>
      <c r="M28" s="350">
        <v>1</v>
      </c>
      <c r="N28" s="350">
        <v>4</v>
      </c>
      <c r="O28" s="351"/>
      <c r="P28" s="351"/>
      <c r="Q28" s="45">
        <f t="shared" si="3"/>
        <v>210</v>
      </c>
    </row>
    <row r="29" spans="1:17">
      <c r="A29" s="360" t="s">
        <v>526</v>
      </c>
      <c r="B29" s="361" t="s">
        <v>527</v>
      </c>
      <c r="C29" s="362"/>
      <c r="D29" s="362"/>
      <c r="E29" s="362"/>
      <c r="F29" s="363"/>
      <c r="G29" s="363"/>
      <c r="H29" s="363"/>
      <c r="I29" s="364">
        <f t="shared" si="1"/>
        <v>0</v>
      </c>
      <c r="J29" s="365" t="s">
        <v>528</v>
      </c>
      <c r="K29" s="351"/>
      <c r="L29" s="351"/>
      <c r="M29" s="351"/>
      <c r="N29" s="351"/>
      <c r="O29" s="351"/>
      <c r="P29" s="351"/>
      <c r="Q29" s="45">
        <f t="shared" si="3"/>
        <v>0</v>
      </c>
    </row>
    <row r="30" spans="1:17">
      <c r="A30" s="347"/>
      <c r="B30" s="366" t="s">
        <v>529</v>
      </c>
      <c r="C30" s="51"/>
      <c r="D30" s="51"/>
      <c r="E30" s="51"/>
      <c r="F30" s="348"/>
      <c r="G30" s="348"/>
      <c r="H30" s="348"/>
      <c r="I30" s="349">
        <f t="shared" si="1"/>
        <v>0</v>
      </c>
      <c r="J30" s="34"/>
      <c r="K30" s="351"/>
      <c r="L30" s="351"/>
      <c r="M30" s="351"/>
      <c r="N30" s="351"/>
      <c r="O30" s="351"/>
      <c r="P30" s="351"/>
      <c r="Q30" s="45">
        <f t="shared" si="3"/>
        <v>0</v>
      </c>
    </row>
    <row r="31" spans="1:17">
      <c r="A31" s="347"/>
      <c r="B31" s="367" t="s">
        <v>428</v>
      </c>
      <c r="C31" s="51"/>
      <c r="D31" s="51"/>
      <c r="E31" s="51"/>
      <c r="F31" s="348"/>
      <c r="G31" s="348"/>
      <c r="H31" s="348"/>
      <c r="I31" s="349">
        <f t="shared" si="1"/>
        <v>0</v>
      </c>
      <c r="J31" s="34"/>
      <c r="K31" s="351"/>
      <c r="L31" s="351"/>
      <c r="M31" s="351"/>
      <c r="N31" s="351"/>
      <c r="O31" s="351"/>
      <c r="P31" s="351"/>
      <c r="Q31" s="45">
        <f t="shared" si="3"/>
        <v>0</v>
      </c>
    </row>
    <row r="32" spans="1:17">
      <c r="A32" s="352" t="s">
        <v>530</v>
      </c>
      <c r="B32" s="368" t="s">
        <v>531</v>
      </c>
      <c r="C32" s="13">
        <v>24</v>
      </c>
      <c r="D32" s="13">
        <v>4</v>
      </c>
      <c r="E32" s="13">
        <v>5</v>
      </c>
      <c r="F32" s="369">
        <v>39</v>
      </c>
      <c r="G32" s="348"/>
      <c r="H32" s="348"/>
      <c r="I32" s="349">
        <f t="shared" si="1"/>
        <v>2530</v>
      </c>
      <c r="J32" s="34" t="s">
        <v>31</v>
      </c>
      <c r="K32" s="350">
        <v>24</v>
      </c>
      <c r="L32" s="351"/>
      <c r="M32" s="350">
        <v>4</v>
      </c>
      <c r="N32" s="350">
        <v>40</v>
      </c>
      <c r="O32" s="351"/>
      <c r="P32" s="351"/>
      <c r="Q32" s="45">
        <f t="shared" si="3"/>
        <v>2400</v>
      </c>
    </row>
    <row r="33" spans="1:17">
      <c r="A33" s="352" t="s">
        <v>532</v>
      </c>
      <c r="B33" s="368" t="s">
        <v>533</v>
      </c>
      <c r="C33" s="13">
        <v>6</v>
      </c>
      <c r="D33" s="51"/>
      <c r="E33" s="51"/>
      <c r="F33" s="369">
        <v>16</v>
      </c>
      <c r="G33" s="348"/>
      <c r="H33" s="348"/>
      <c r="I33" s="349">
        <f t="shared" si="1"/>
        <v>790</v>
      </c>
      <c r="J33" s="34" t="s">
        <v>31</v>
      </c>
      <c r="K33" s="350">
        <v>4</v>
      </c>
      <c r="L33" s="351"/>
      <c r="M33" s="351"/>
      <c r="N33" s="350">
        <v>16</v>
      </c>
      <c r="O33" s="350">
        <v>2</v>
      </c>
      <c r="P33" s="351"/>
      <c r="Q33" s="45">
        <f t="shared" si="3"/>
        <v>810</v>
      </c>
    </row>
    <row r="34" spans="1:17">
      <c r="A34" s="352" t="s">
        <v>534</v>
      </c>
      <c r="B34" s="368" t="s">
        <v>535</v>
      </c>
      <c r="C34" s="13">
        <v>6</v>
      </c>
      <c r="D34" s="51"/>
      <c r="E34" s="51"/>
      <c r="F34" s="353">
        <v>8.5</v>
      </c>
      <c r="G34" s="348"/>
      <c r="H34" s="348"/>
      <c r="I34" s="349">
        <f t="shared" si="1"/>
        <v>490</v>
      </c>
      <c r="J34" s="34" t="s">
        <v>31</v>
      </c>
      <c r="K34" s="351"/>
      <c r="L34" s="351"/>
      <c r="M34" s="351"/>
      <c r="N34" s="350">
        <v>8</v>
      </c>
      <c r="O34" s="351"/>
      <c r="P34" s="351"/>
      <c r="Q34" s="45">
        <f t="shared" si="3"/>
        <v>320</v>
      </c>
    </row>
    <row r="35" spans="1:17">
      <c r="A35" s="352" t="s">
        <v>536</v>
      </c>
      <c r="B35" s="370" t="s">
        <v>537</v>
      </c>
      <c r="C35" s="50">
        <v>12</v>
      </c>
      <c r="D35" s="50">
        <v>1</v>
      </c>
      <c r="E35" s="52"/>
      <c r="F35" s="369">
        <v>3</v>
      </c>
      <c r="G35" s="348"/>
      <c r="H35" s="348"/>
      <c r="I35" s="349">
        <f t="shared" si="1"/>
        <v>450</v>
      </c>
      <c r="J35" s="34" t="s">
        <v>31</v>
      </c>
      <c r="K35" s="350">
        <v>16</v>
      </c>
      <c r="L35" s="350">
        <v>4</v>
      </c>
      <c r="M35" s="350">
        <v>1</v>
      </c>
      <c r="N35" s="351"/>
      <c r="O35" s="351"/>
      <c r="P35" s="351"/>
      <c r="Q35" s="45">
        <f t="shared" si="3"/>
        <v>570</v>
      </c>
    </row>
    <row r="36" spans="1:17">
      <c r="A36" s="352" t="s">
        <v>538</v>
      </c>
      <c r="B36" s="52" t="s">
        <v>539</v>
      </c>
      <c r="C36" s="50">
        <v>2</v>
      </c>
      <c r="D36" s="52"/>
      <c r="E36" s="52"/>
      <c r="F36" s="369">
        <v>1</v>
      </c>
      <c r="G36" s="348"/>
      <c r="H36" s="348"/>
      <c r="I36" s="349">
        <f t="shared" si="1"/>
        <v>90</v>
      </c>
      <c r="J36" s="34" t="s">
        <v>31</v>
      </c>
      <c r="K36" s="351"/>
      <c r="L36" s="351"/>
      <c r="M36" s="351"/>
      <c r="N36" s="350">
        <v>8</v>
      </c>
      <c r="O36" s="351"/>
      <c r="P36" s="351"/>
      <c r="Q36" s="45">
        <f t="shared" si="3"/>
        <v>320</v>
      </c>
    </row>
    <row r="37" spans="1:17">
      <c r="A37" s="352" t="s">
        <v>540</v>
      </c>
      <c r="B37" s="52" t="s">
        <v>475</v>
      </c>
      <c r="C37" s="50">
        <v>4</v>
      </c>
      <c r="D37" s="52"/>
      <c r="E37" s="50">
        <v>1.5</v>
      </c>
      <c r="F37" s="369">
        <v>14</v>
      </c>
      <c r="G37" s="348"/>
      <c r="H37" s="348"/>
      <c r="I37" s="349">
        <f t="shared" si="1"/>
        <v>735</v>
      </c>
      <c r="J37" s="34" t="s">
        <v>31</v>
      </c>
      <c r="K37" s="350">
        <v>8</v>
      </c>
      <c r="L37" s="351"/>
      <c r="M37" s="350">
        <v>5</v>
      </c>
      <c r="N37" s="350">
        <v>60</v>
      </c>
      <c r="O37" s="351"/>
      <c r="P37" s="351"/>
      <c r="Q37" s="45">
        <f t="shared" si="3"/>
        <v>2850</v>
      </c>
    </row>
    <row r="38" spans="1:17">
      <c r="A38" s="352" t="s">
        <v>541</v>
      </c>
      <c r="B38" s="52" t="s">
        <v>542</v>
      </c>
      <c r="C38" s="50">
        <v>24</v>
      </c>
      <c r="D38" s="50">
        <v>4</v>
      </c>
      <c r="E38" s="50">
        <v>2</v>
      </c>
      <c r="F38" s="371"/>
      <c r="G38" s="348"/>
      <c r="H38" s="348"/>
      <c r="I38" s="349">
        <f t="shared" si="1"/>
        <v>820</v>
      </c>
      <c r="J38" s="34" t="s">
        <v>31</v>
      </c>
      <c r="K38" s="350">
        <v>30</v>
      </c>
      <c r="L38" s="350">
        <v>10</v>
      </c>
      <c r="M38" s="350">
        <v>5</v>
      </c>
      <c r="N38" s="350">
        <v>4</v>
      </c>
      <c r="O38" s="351"/>
      <c r="P38" s="351"/>
      <c r="Q38" s="45">
        <f t="shared" si="3"/>
        <v>1460</v>
      </c>
    </row>
    <row r="39" spans="1:17">
      <c r="A39" s="352" t="s">
        <v>543</v>
      </c>
      <c r="B39" s="52" t="s">
        <v>544</v>
      </c>
      <c r="C39" s="50">
        <v>6</v>
      </c>
      <c r="D39" s="50">
        <v>0.5</v>
      </c>
      <c r="E39" s="50">
        <v>4</v>
      </c>
      <c r="F39" s="369">
        <v>7</v>
      </c>
      <c r="G39" s="348"/>
      <c r="H39" s="348"/>
      <c r="I39" s="349">
        <f t="shared" si="1"/>
        <v>645</v>
      </c>
      <c r="J39" s="34" t="s">
        <v>31</v>
      </c>
      <c r="K39" s="350">
        <v>2</v>
      </c>
      <c r="L39" s="351"/>
      <c r="M39" s="350">
        <v>2</v>
      </c>
      <c r="N39" s="350">
        <v>4</v>
      </c>
      <c r="O39" s="351"/>
      <c r="P39" s="351"/>
      <c r="Q39" s="45">
        <f t="shared" si="3"/>
        <v>310</v>
      </c>
    </row>
    <row r="40" spans="1:17">
      <c r="A40" s="347"/>
      <c r="B40" s="372" t="s">
        <v>36</v>
      </c>
      <c r="C40" s="348"/>
      <c r="D40" s="348"/>
      <c r="E40" s="348"/>
      <c r="F40" s="371"/>
      <c r="G40" s="371"/>
      <c r="H40" s="348"/>
      <c r="I40" s="349">
        <f t="shared" si="1"/>
        <v>0</v>
      </c>
      <c r="J40" s="34" t="s">
        <v>545</v>
      </c>
      <c r="K40" s="351"/>
      <c r="L40" s="351"/>
      <c r="M40" s="351"/>
      <c r="N40" s="350">
        <v>12</v>
      </c>
      <c r="O40" s="350">
        <v>12</v>
      </c>
      <c r="P40" s="351"/>
      <c r="Q40" s="45">
        <f t="shared" si="3"/>
        <v>900</v>
      </c>
    </row>
    <row r="41" spans="1:17">
      <c r="A41" s="373">
        <v>22</v>
      </c>
      <c r="B41" s="42" t="s">
        <v>546</v>
      </c>
      <c r="C41" s="33">
        <v>0.5</v>
      </c>
      <c r="D41" s="34"/>
      <c r="E41" s="33">
        <v>1</v>
      </c>
      <c r="F41" s="33">
        <v>8</v>
      </c>
      <c r="G41" s="34"/>
      <c r="H41" s="34"/>
      <c r="I41" s="44">
        <f t="shared" si="1"/>
        <v>382.5</v>
      </c>
      <c r="J41" s="34" t="s">
        <v>31</v>
      </c>
      <c r="K41" s="12"/>
      <c r="L41" s="12"/>
      <c r="M41" s="12"/>
      <c r="N41" s="12"/>
      <c r="O41" s="12"/>
      <c r="P41" s="374" t="s">
        <v>38</v>
      </c>
      <c r="Q41" s="45">
        <f>SUM(Q16:Q40)</f>
        <v>25760</v>
      </c>
    </row>
    <row r="42" spans="1:17">
      <c r="A42" s="373">
        <v>23</v>
      </c>
      <c r="B42" s="298" t="s">
        <v>547</v>
      </c>
      <c r="C42" s="33">
        <v>0.5</v>
      </c>
      <c r="D42" s="34"/>
      <c r="E42" s="33">
        <v>1</v>
      </c>
      <c r="F42" s="33">
        <v>10</v>
      </c>
      <c r="G42" s="34"/>
      <c r="H42" s="34"/>
      <c r="I42" s="44">
        <f t="shared" si="1"/>
        <v>462.5</v>
      </c>
      <c r="J42" s="34" t="s">
        <v>31</v>
      </c>
      <c r="K42" s="12"/>
      <c r="L42" s="12"/>
      <c r="M42" s="12"/>
      <c r="N42" s="12"/>
      <c r="O42" s="12"/>
      <c r="P42" s="284" t="s">
        <v>548</v>
      </c>
      <c r="Q42" s="45">
        <f>SUM(Q16:Q40)</f>
        <v>25760</v>
      </c>
    </row>
    <row r="43" spans="1:17">
      <c r="A43" s="373">
        <v>24</v>
      </c>
      <c r="B43" s="298" t="s">
        <v>549</v>
      </c>
      <c r="C43" s="34"/>
      <c r="D43" s="34"/>
      <c r="E43" s="34"/>
      <c r="F43" s="33">
        <v>1</v>
      </c>
      <c r="G43" s="34"/>
      <c r="H43" s="34"/>
      <c r="I43" s="44">
        <f t="shared" si="1"/>
        <v>40</v>
      </c>
      <c r="J43" s="34" t="s">
        <v>31</v>
      </c>
      <c r="K43" s="12"/>
      <c r="L43" s="12"/>
      <c r="M43" s="12"/>
      <c r="N43" s="12"/>
      <c r="O43" s="12"/>
      <c r="P43" s="12"/>
      <c r="Q43" s="12"/>
    </row>
    <row r="44" spans="1:17">
      <c r="A44" s="373">
        <v>25</v>
      </c>
      <c r="B44" s="42" t="s">
        <v>550</v>
      </c>
      <c r="C44" s="34"/>
      <c r="D44" s="34"/>
      <c r="E44" s="34"/>
      <c r="F44" s="34"/>
      <c r="G44" s="33">
        <v>6</v>
      </c>
      <c r="H44" s="34"/>
      <c r="I44" s="44">
        <f t="shared" si="1"/>
        <v>210</v>
      </c>
      <c r="J44" s="34" t="s">
        <v>31</v>
      </c>
      <c r="K44" s="12"/>
      <c r="L44" s="12"/>
      <c r="M44" s="12"/>
      <c r="N44" s="12"/>
      <c r="O44" s="12"/>
      <c r="P44" s="12"/>
      <c r="Q44" s="12"/>
    </row>
    <row r="45" spans="1:17">
      <c r="A45" s="373">
        <v>26</v>
      </c>
      <c r="B45" s="42" t="s">
        <v>551</v>
      </c>
      <c r="C45" s="336"/>
      <c r="D45" s="34"/>
      <c r="E45" s="34"/>
      <c r="F45" s="33">
        <v>3</v>
      </c>
      <c r="G45" s="34"/>
      <c r="H45" s="34"/>
      <c r="I45" s="44">
        <f t="shared" si="1"/>
        <v>120</v>
      </c>
      <c r="J45" s="34" t="s">
        <v>31</v>
      </c>
      <c r="K45" s="12"/>
      <c r="L45" s="12"/>
      <c r="M45" s="12"/>
      <c r="N45" s="12"/>
      <c r="O45" s="12"/>
      <c r="P45" s="12"/>
      <c r="Q45" s="12"/>
    </row>
    <row r="46" spans="1:17">
      <c r="A46" s="373">
        <v>27</v>
      </c>
      <c r="B46" s="42" t="s">
        <v>552</v>
      </c>
      <c r="C46" s="375"/>
      <c r="D46" s="325"/>
      <c r="E46" s="325"/>
      <c r="F46" s="376">
        <v>2.5</v>
      </c>
      <c r="G46" s="325"/>
      <c r="H46" s="325"/>
      <c r="I46" s="44">
        <f t="shared" si="1"/>
        <v>100</v>
      </c>
      <c r="J46" s="34" t="s">
        <v>31</v>
      </c>
      <c r="K46" s="12"/>
      <c r="L46" s="12"/>
      <c r="M46" s="12"/>
      <c r="N46" s="12"/>
      <c r="O46" s="12"/>
      <c r="P46" s="12"/>
      <c r="Q46" s="12"/>
    </row>
    <row r="47" spans="1:17">
      <c r="A47" s="373">
        <v>28</v>
      </c>
      <c r="B47" s="42" t="s">
        <v>553</v>
      </c>
      <c r="C47" s="377">
        <v>1</v>
      </c>
      <c r="D47" s="378"/>
      <c r="E47" s="377">
        <v>0.5</v>
      </c>
      <c r="F47" s="377">
        <v>5</v>
      </c>
      <c r="G47" s="378"/>
      <c r="H47" s="378"/>
      <c r="I47" s="44">
        <f t="shared" si="1"/>
        <v>250</v>
      </c>
      <c r="J47" s="34" t="s">
        <v>31</v>
      </c>
      <c r="K47" s="12"/>
      <c r="L47" s="12"/>
      <c r="M47" s="12"/>
      <c r="N47" s="12"/>
      <c r="O47" s="12"/>
      <c r="P47" s="12"/>
      <c r="Q47" s="12"/>
    </row>
    <row r="48" spans="1:17">
      <c r="A48" s="373">
        <v>29</v>
      </c>
      <c r="B48" s="42" t="s">
        <v>554</v>
      </c>
      <c r="C48" s="377">
        <v>2</v>
      </c>
      <c r="D48" s="378"/>
      <c r="E48" s="378"/>
      <c r="F48" s="377">
        <v>1.5</v>
      </c>
      <c r="G48" s="378"/>
      <c r="H48" s="379"/>
      <c r="I48" s="380">
        <f t="shared" si="1"/>
        <v>110</v>
      </c>
      <c r="J48" s="34" t="s">
        <v>31</v>
      </c>
      <c r="K48" s="12"/>
      <c r="L48" s="12"/>
      <c r="M48" s="12"/>
      <c r="N48" s="12"/>
      <c r="O48" s="12"/>
      <c r="P48" s="12"/>
      <c r="Q48" s="12"/>
    </row>
    <row r="49" spans="1:17">
      <c r="A49" s="12"/>
      <c r="B49" s="12"/>
      <c r="C49" s="12"/>
      <c r="D49" s="12"/>
      <c r="E49" s="12"/>
      <c r="F49" s="12"/>
      <c r="G49" s="12"/>
      <c r="H49" s="381" t="s">
        <v>37</v>
      </c>
      <c r="I49" s="382">
        <f>SUM(I16:I48)</f>
        <v>25417.5</v>
      </c>
      <c r="J49" s="12"/>
      <c r="K49" s="12"/>
      <c r="L49" s="12"/>
      <c r="M49" s="12"/>
      <c r="N49" s="12"/>
      <c r="O49" s="12"/>
      <c r="P49" s="12"/>
      <c r="Q49" s="12"/>
    </row>
    <row r="50" spans="1:17">
      <c r="A50" s="479" t="s">
        <v>343</v>
      </c>
      <c r="B50" s="480"/>
      <c r="C50" s="480"/>
      <c r="D50" s="480"/>
      <c r="E50" s="480"/>
      <c r="F50" s="480"/>
      <c r="G50" s="480"/>
      <c r="H50" s="480"/>
      <c r="I50" s="478"/>
      <c r="J50" s="12"/>
      <c r="K50" s="12"/>
      <c r="L50" s="12"/>
      <c r="M50" s="12"/>
      <c r="N50" s="12"/>
      <c r="O50" s="12"/>
      <c r="P50" s="12"/>
      <c r="Q50" s="12"/>
    </row>
    <row r="51" spans="1:17">
      <c r="A51" s="47"/>
      <c r="B51" s="302" t="s">
        <v>505</v>
      </c>
      <c r="C51" s="336"/>
      <c r="D51" s="34"/>
      <c r="E51" s="34"/>
      <c r="F51" s="34"/>
      <c r="G51" s="34"/>
      <c r="H51" s="34"/>
      <c r="I51" s="43"/>
      <c r="J51" s="34"/>
      <c r="K51" s="12"/>
      <c r="L51" s="12"/>
      <c r="M51" s="12"/>
      <c r="N51" s="12"/>
      <c r="O51" s="12"/>
      <c r="P51" s="12"/>
      <c r="Q51" s="12"/>
    </row>
    <row r="52" spans="1:17">
      <c r="A52" s="373">
        <v>30</v>
      </c>
      <c r="B52" s="336" t="s">
        <v>555</v>
      </c>
      <c r="C52" s="337">
        <v>8</v>
      </c>
      <c r="D52" s="33">
        <v>2</v>
      </c>
      <c r="E52" s="34"/>
      <c r="F52" s="33">
        <v>7</v>
      </c>
      <c r="G52" s="33">
        <v>21</v>
      </c>
      <c r="H52" s="34"/>
      <c r="I52" s="44">
        <f t="shared" ref="I52:I66" si="4">C52*25+D52*30+E52*50+F52*40+G52*35+H52*25</f>
        <v>1275</v>
      </c>
      <c r="J52" s="34" t="s">
        <v>31</v>
      </c>
      <c r="K52" s="12"/>
      <c r="L52" s="12"/>
      <c r="M52" s="12"/>
      <c r="N52" s="12"/>
      <c r="O52" s="12"/>
      <c r="P52" s="12"/>
      <c r="Q52" s="12"/>
    </row>
    <row r="53" spans="1:17">
      <c r="A53" s="373">
        <v>31</v>
      </c>
      <c r="B53" s="336" t="s">
        <v>556</v>
      </c>
      <c r="C53" s="337">
        <v>11</v>
      </c>
      <c r="D53" s="33">
        <v>2</v>
      </c>
      <c r="E53" s="34"/>
      <c r="F53" s="33">
        <f>4+6+3+2+3+2</f>
        <v>20</v>
      </c>
      <c r="G53" s="33">
        <v>6</v>
      </c>
      <c r="H53" s="34"/>
      <c r="I53" s="44">
        <f t="shared" si="4"/>
        <v>1345</v>
      </c>
      <c r="J53" s="34" t="s">
        <v>31</v>
      </c>
      <c r="K53" s="12"/>
      <c r="L53" s="12"/>
      <c r="M53" s="12"/>
      <c r="N53" s="12"/>
      <c r="O53" s="12"/>
      <c r="P53" s="12"/>
      <c r="Q53" s="12"/>
    </row>
    <row r="54" spans="1:17">
      <c r="A54" s="373">
        <v>32</v>
      </c>
      <c r="B54" s="336" t="s">
        <v>557</v>
      </c>
      <c r="C54" s="337">
        <v>2</v>
      </c>
      <c r="D54" s="34"/>
      <c r="E54" s="34"/>
      <c r="F54" s="34"/>
      <c r="G54" s="33">
        <v>8</v>
      </c>
      <c r="H54" s="34"/>
      <c r="I54" s="44">
        <f t="shared" si="4"/>
        <v>330</v>
      </c>
      <c r="J54" s="34" t="s">
        <v>31</v>
      </c>
      <c r="K54" s="12"/>
      <c r="L54" s="12"/>
      <c r="M54" s="12"/>
      <c r="N54" s="12"/>
      <c r="O54" s="12"/>
      <c r="P54" s="12"/>
      <c r="Q54" s="12"/>
    </row>
    <row r="55" spans="1:17">
      <c r="A55" s="373">
        <v>33</v>
      </c>
      <c r="B55" s="336" t="s">
        <v>558</v>
      </c>
      <c r="C55" s="337">
        <v>1</v>
      </c>
      <c r="D55" s="34"/>
      <c r="E55" s="34"/>
      <c r="F55" s="34"/>
      <c r="G55" s="33">
        <v>5</v>
      </c>
      <c r="H55" s="34"/>
      <c r="I55" s="44">
        <f t="shared" si="4"/>
        <v>200</v>
      </c>
      <c r="J55" s="34" t="s">
        <v>31</v>
      </c>
      <c r="K55" s="12"/>
      <c r="L55" s="12"/>
      <c r="M55" s="12"/>
      <c r="N55" s="12"/>
      <c r="O55" s="12"/>
      <c r="P55" s="12"/>
      <c r="Q55" s="12"/>
    </row>
    <row r="56" spans="1:17">
      <c r="A56" s="373">
        <v>34</v>
      </c>
      <c r="B56" s="336" t="s">
        <v>559</v>
      </c>
      <c r="C56" s="336"/>
      <c r="D56" s="34"/>
      <c r="E56" s="33">
        <v>1</v>
      </c>
      <c r="F56" s="33">
        <v>11</v>
      </c>
      <c r="G56" s="34"/>
      <c r="H56" s="34"/>
      <c r="I56" s="44">
        <f t="shared" si="4"/>
        <v>490</v>
      </c>
      <c r="J56" s="34" t="s">
        <v>31</v>
      </c>
      <c r="K56" s="12"/>
      <c r="L56" s="12"/>
      <c r="M56" s="12"/>
      <c r="N56" s="12"/>
      <c r="O56" s="12"/>
      <c r="P56" s="12"/>
      <c r="Q56" s="12"/>
    </row>
    <row r="57" spans="1:17">
      <c r="A57" s="373">
        <v>35</v>
      </c>
      <c r="B57" s="336" t="s">
        <v>560</v>
      </c>
      <c r="C57" s="337">
        <v>2</v>
      </c>
      <c r="D57" s="33">
        <v>1</v>
      </c>
      <c r="E57" s="33">
        <v>1</v>
      </c>
      <c r="F57" s="33">
        <v>13</v>
      </c>
      <c r="G57" s="33">
        <v>11</v>
      </c>
      <c r="H57" s="34"/>
      <c r="I57" s="44">
        <f t="shared" si="4"/>
        <v>1035</v>
      </c>
      <c r="J57" s="34" t="s">
        <v>31</v>
      </c>
      <c r="K57" s="12"/>
      <c r="L57" s="12"/>
      <c r="M57" s="12"/>
      <c r="N57" s="12"/>
      <c r="O57" s="12"/>
      <c r="P57" s="12"/>
      <c r="Q57" s="12"/>
    </row>
    <row r="58" spans="1:17">
      <c r="A58" s="383"/>
      <c r="B58" s="302" t="s">
        <v>529</v>
      </c>
      <c r="C58" s="336"/>
      <c r="D58" s="34"/>
      <c r="E58" s="34"/>
      <c r="F58" s="34"/>
      <c r="G58" s="34"/>
      <c r="H58" s="34"/>
      <c r="I58" s="44">
        <f t="shared" si="4"/>
        <v>0</v>
      </c>
      <c r="J58" s="34" t="s">
        <v>31</v>
      </c>
      <c r="K58" s="12"/>
      <c r="L58" s="12"/>
      <c r="M58" s="12"/>
      <c r="N58" s="12"/>
      <c r="O58" s="12"/>
      <c r="P58" s="12"/>
      <c r="Q58" s="12"/>
    </row>
    <row r="59" spans="1:17">
      <c r="A59" s="373">
        <v>35</v>
      </c>
      <c r="B59" s="42" t="s">
        <v>561</v>
      </c>
      <c r="C59" s="337">
        <v>1</v>
      </c>
      <c r="D59" s="34"/>
      <c r="E59" s="34"/>
      <c r="F59" s="34"/>
      <c r="G59" s="33">
        <v>6.5</v>
      </c>
      <c r="H59" s="34"/>
      <c r="I59" s="44">
        <f t="shared" si="4"/>
        <v>252.5</v>
      </c>
      <c r="J59" s="34" t="s">
        <v>31</v>
      </c>
      <c r="K59" s="12"/>
      <c r="L59" s="12"/>
      <c r="M59" s="12"/>
      <c r="N59" s="12"/>
      <c r="O59" s="12"/>
      <c r="P59" s="12"/>
      <c r="Q59" s="12"/>
    </row>
    <row r="60" spans="1:17">
      <c r="A60" s="373">
        <v>36</v>
      </c>
      <c r="B60" s="42" t="s">
        <v>562</v>
      </c>
      <c r="C60" s="33">
        <v>4</v>
      </c>
      <c r="D60" s="33">
        <v>2</v>
      </c>
      <c r="E60" s="34"/>
      <c r="F60" s="33">
        <v>9</v>
      </c>
      <c r="G60" s="34"/>
      <c r="H60" s="34"/>
      <c r="I60" s="44">
        <f t="shared" si="4"/>
        <v>520</v>
      </c>
      <c r="J60" s="34" t="s">
        <v>31</v>
      </c>
      <c r="K60" s="12"/>
      <c r="L60" s="12"/>
      <c r="M60" s="12"/>
      <c r="N60" s="12"/>
      <c r="O60" s="12"/>
      <c r="P60" s="12"/>
      <c r="Q60" s="12"/>
    </row>
    <row r="61" spans="1:17">
      <c r="A61" s="373">
        <v>37</v>
      </c>
      <c r="B61" s="42" t="s">
        <v>563</v>
      </c>
      <c r="C61" s="33">
        <v>4</v>
      </c>
      <c r="D61" s="33">
        <v>1</v>
      </c>
      <c r="E61" s="33">
        <v>0.5</v>
      </c>
      <c r="F61" s="34"/>
      <c r="G61" s="33">
        <v>7</v>
      </c>
      <c r="H61" s="34"/>
      <c r="I61" s="44">
        <f t="shared" si="4"/>
        <v>400</v>
      </c>
      <c r="J61" s="34" t="s">
        <v>31</v>
      </c>
      <c r="K61" s="12"/>
      <c r="L61" s="12"/>
      <c r="M61" s="12"/>
      <c r="N61" s="12"/>
      <c r="O61" s="12"/>
      <c r="P61" s="12"/>
      <c r="Q61" s="12"/>
    </row>
    <row r="62" spans="1:17">
      <c r="A62" s="373">
        <v>38</v>
      </c>
      <c r="B62" s="42" t="s">
        <v>564</v>
      </c>
      <c r="C62" s="33">
        <v>4</v>
      </c>
      <c r="D62" s="33">
        <v>1</v>
      </c>
      <c r="E62" s="33">
        <v>0.5</v>
      </c>
      <c r="F62" s="34"/>
      <c r="G62" s="33">
        <v>6</v>
      </c>
      <c r="H62" s="34"/>
      <c r="I62" s="44">
        <f t="shared" si="4"/>
        <v>365</v>
      </c>
      <c r="J62" s="34" t="s">
        <v>31</v>
      </c>
      <c r="K62" s="12"/>
      <c r="L62" s="12"/>
      <c r="M62" s="12"/>
      <c r="N62" s="12"/>
      <c r="O62" s="12"/>
      <c r="P62" s="12"/>
      <c r="Q62" s="12"/>
    </row>
    <row r="63" spans="1:17">
      <c r="A63" s="373">
        <v>39</v>
      </c>
      <c r="B63" s="42" t="s">
        <v>565</v>
      </c>
      <c r="C63" s="377">
        <v>1</v>
      </c>
      <c r="D63" s="378"/>
      <c r="E63" s="378"/>
      <c r="F63" s="377">
        <v>1</v>
      </c>
      <c r="G63" s="378"/>
      <c r="H63" s="378"/>
      <c r="I63" s="44">
        <f t="shared" si="4"/>
        <v>65</v>
      </c>
      <c r="J63" s="34" t="s">
        <v>31</v>
      </c>
      <c r="K63" s="12"/>
      <c r="L63" s="12"/>
      <c r="M63" s="12"/>
      <c r="N63" s="12"/>
      <c r="O63" s="12"/>
      <c r="P63" s="12"/>
      <c r="Q63" s="12"/>
    </row>
    <row r="64" spans="1:17">
      <c r="A64" s="373">
        <v>40</v>
      </c>
      <c r="B64" s="42" t="s">
        <v>566</v>
      </c>
      <c r="C64" s="377">
        <v>0.5</v>
      </c>
      <c r="D64" s="378"/>
      <c r="E64" s="378"/>
      <c r="F64" s="377">
        <v>4</v>
      </c>
      <c r="G64" s="378"/>
      <c r="H64" s="378"/>
      <c r="I64" s="44">
        <f t="shared" si="4"/>
        <v>172.5</v>
      </c>
      <c r="J64" s="34" t="s">
        <v>31</v>
      </c>
      <c r="K64" s="12"/>
      <c r="L64" s="12"/>
      <c r="M64" s="12"/>
      <c r="N64" s="12"/>
      <c r="O64" s="12"/>
      <c r="P64" s="12"/>
      <c r="Q64" s="12"/>
    </row>
    <row r="65" spans="1:17">
      <c r="A65" s="373">
        <v>41</v>
      </c>
      <c r="B65" s="42" t="s">
        <v>567</v>
      </c>
      <c r="C65" s="150">
        <v>1</v>
      </c>
      <c r="D65" s="161"/>
      <c r="E65" s="161"/>
      <c r="F65" s="148">
        <v>4</v>
      </c>
      <c r="G65" s="161"/>
      <c r="H65" s="161"/>
      <c r="I65" s="44">
        <f t="shared" si="4"/>
        <v>185</v>
      </c>
      <c r="J65" s="34" t="s">
        <v>31</v>
      </c>
      <c r="K65" s="12"/>
      <c r="L65" s="12"/>
      <c r="M65" s="12"/>
      <c r="N65" s="12"/>
      <c r="O65" s="12"/>
      <c r="P65" s="12"/>
      <c r="Q65" s="12"/>
    </row>
    <row r="66" spans="1:17">
      <c r="A66" s="373">
        <v>42</v>
      </c>
      <c r="B66" s="335" t="s">
        <v>568</v>
      </c>
      <c r="C66" s="384">
        <v>2.5</v>
      </c>
      <c r="D66" s="34"/>
      <c r="E66" s="373">
        <v>1</v>
      </c>
      <c r="F66" s="373">
        <v>10</v>
      </c>
      <c r="G66" s="34"/>
      <c r="H66" s="34"/>
      <c r="I66" s="385">
        <f t="shared" si="4"/>
        <v>512.5</v>
      </c>
      <c r="J66" s="383" t="s">
        <v>31</v>
      </c>
      <c r="K66" s="12"/>
      <c r="L66" s="12"/>
      <c r="M66" s="12"/>
      <c r="N66" s="12"/>
      <c r="O66" s="12"/>
      <c r="P66" s="12"/>
      <c r="Q66" s="12"/>
    </row>
    <row r="67" spans="1:17">
      <c r="A67" s="383"/>
      <c r="B67" s="302" t="s">
        <v>569</v>
      </c>
      <c r="C67" s="336"/>
      <c r="D67" s="34"/>
      <c r="E67" s="34"/>
      <c r="F67" s="34"/>
      <c r="G67" s="34"/>
      <c r="H67" s="34"/>
      <c r="I67" s="43"/>
      <c r="J67" s="34"/>
      <c r="K67" s="12"/>
      <c r="L67" s="12"/>
      <c r="M67" s="12"/>
      <c r="N67" s="12"/>
      <c r="O67" s="12"/>
      <c r="P67" s="12"/>
      <c r="Q67" s="12"/>
    </row>
    <row r="68" spans="1:17">
      <c r="A68" s="373">
        <v>43</v>
      </c>
      <c r="B68" s="42" t="s">
        <v>570</v>
      </c>
      <c r="C68" s="33">
        <v>1</v>
      </c>
      <c r="D68" s="34"/>
      <c r="E68" s="34"/>
      <c r="F68" s="34"/>
      <c r="G68" s="33">
        <v>9</v>
      </c>
      <c r="H68" s="34"/>
      <c r="I68" s="44">
        <f t="shared" ref="I68:I72" si="5">C68*25+D68*30+E68*50+F68*40+G68*35+H68*25</f>
        <v>340</v>
      </c>
      <c r="J68" s="34" t="s">
        <v>31</v>
      </c>
      <c r="K68" s="12"/>
      <c r="L68" s="12"/>
      <c r="M68" s="12"/>
      <c r="N68" s="12"/>
      <c r="O68" s="12"/>
      <c r="P68" s="12"/>
      <c r="Q68" s="12"/>
    </row>
    <row r="69" spans="1:17">
      <c r="A69" s="373">
        <v>44</v>
      </c>
      <c r="B69" s="42" t="s">
        <v>571</v>
      </c>
      <c r="C69" s="377">
        <v>1</v>
      </c>
      <c r="D69" s="378"/>
      <c r="E69" s="378"/>
      <c r="F69" s="377">
        <v>0.5</v>
      </c>
      <c r="G69" s="378"/>
      <c r="H69" s="378"/>
      <c r="I69" s="44">
        <f t="shared" si="5"/>
        <v>45</v>
      </c>
      <c r="J69" s="34" t="s">
        <v>31</v>
      </c>
      <c r="K69" s="12"/>
      <c r="L69" s="12"/>
      <c r="M69" s="12"/>
      <c r="N69" s="12"/>
      <c r="O69" s="12"/>
      <c r="P69" s="12"/>
      <c r="Q69" s="12"/>
    </row>
    <row r="70" spans="1:17">
      <c r="A70" s="373">
        <v>45</v>
      </c>
      <c r="B70" s="42" t="s">
        <v>572</v>
      </c>
      <c r="C70" s="377">
        <v>0.5</v>
      </c>
      <c r="D70" s="378"/>
      <c r="E70" s="378"/>
      <c r="F70" s="377">
        <v>0.5</v>
      </c>
      <c r="G70" s="378"/>
      <c r="H70" s="378"/>
      <c r="I70" s="44">
        <f t="shared" si="5"/>
        <v>32.5</v>
      </c>
      <c r="J70" s="34" t="s">
        <v>31</v>
      </c>
      <c r="K70" s="12"/>
      <c r="L70" s="12"/>
      <c r="M70" s="12"/>
      <c r="N70" s="12"/>
      <c r="O70" s="12"/>
      <c r="P70" s="12"/>
      <c r="Q70" s="12"/>
    </row>
    <row r="71" spans="1:17">
      <c r="A71" s="373">
        <v>46</v>
      </c>
      <c r="B71" s="42" t="s">
        <v>573</v>
      </c>
      <c r="C71" s="377">
        <v>2</v>
      </c>
      <c r="D71" s="378"/>
      <c r="E71" s="378"/>
      <c r="F71" s="377">
        <v>2</v>
      </c>
      <c r="G71" s="378"/>
      <c r="H71" s="378"/>
      <c r="I71" s="44">
        <f t="shared" si="5"/>
        <v>130</v>
      </c>
      <c r="J71" s="34" t="s">
        <v>31</v>
      </c>
      <c r="K71" s="12"/>
      <c r="L71" s="12"/>
      <c r="M71" s="12"/>
      <c r="N71" s="12"/>
      <c r="O71" s="12"/>
      <c r="P71" s="12"/>
      <c r="Q71" s="12"/>
    </row>
    <row r="72" spans="1:17">
      <c r="A72" s="373">
        <v>47</v>
      </c>
      <c r="B72" s="42" t="s">
        <v>574</v>
      </c>
      <c r="C72" s="377">
        <v>1</v>
      </c>
      <c r="D72" s="378"/>
      <c r="E72" s="378"/>
      <c r="F72" s="377">
        <v>5</v>
      </c>
      <c r="G72" s="378"/>
      <c r="H72" s="378"/>
      <c r="I72" s="44">
        <f t="shared" si="5"/>
        <v>225</v>
      </c>
      <c r="J72" s="34" t="s">
        <v>31</v>
      </c>
      <c r="K72" s="12"/>
      <c r="L72" s="12"/>
      <c r="M72" s="12"/>
      <c r="N72" s="12"/>
      <c r="O72" s="12"/>
      <c r="P72" s="12"/>
      <c r="Q72" s="12"/>
    </row>
    <row r="73" spans="1:17">
      <c r="A73" s="12"/>
      <c r="B73" s="12"/>
      <c r="C73" s="12"/>
      <c r="D73" s="12"/>
      <c r="E73" s="12"/>
      <c r="F73" s="12"/>
      <c r="G73" s="12"/>
      <c r="H73" s="40" t="s">
        <v>37</v>
      </c>
      <c r="I73" s="44">
        <f>SUM(I52:I72)</f>
        <v>7920</v>
      </c>
      <c r="J73" s="12"/>
      <c r="K73" s="12"/>
      <c r="L73" s="12"/>
      <c r="M73" s="12"/>
      <c r="N73" s="12"/>
      <c r="O73" s="12"/>
      <c r="P73" s="12"/>
      <c r="Q73" s="12"/>
    </row>
    <row r="74" spans="1:17">
      <c r="A74" s="12"/>
      <c r="B74" s="12"/>
      <c r="C74" s="12"/>
      <c r="D74" s="12"/>
      <c r="E74" s="12"/>
      <c r="F74" s="12"/>
      <c r="G74" s="12"/>
      <c r="H74" s="40" t="s">
        <v>38</v>
      </c>
      <c r="I74" s="44">
        <f>I49+I73</f>
        <v>33337.5</v>
      </c>
      <c r="J74" s="12"/>
      <c r="K74" s="12"/>
      <c r="L74" s="12"/>
      <c r="M74" s="12"/>
      <c r="N74" s="12"/>
      <c r="O74" s="12"/>
      <c r="P74" s="12"/>
      <c r="Q74" s="12"/>
    </row>
  </sheetData>
  <mergeCells count="5">
    <mergeCell ref="A12:D12"/>
    <mergeCell ref="A14:B14"/>
    <mergeCell ref="C14:I14"/>
    <mergeCell ref="K14:Q14"/>
    <mergeCell ref="A50:I50"/>
  </mergeCells>
  <hyperlinks>
    <hyperlink ref="B30" r:id="rId1" xr:uid="{00000000-0004-0000-1F00-000000000000}"/>
    <hyperlink ref="B31" r:id="rId2" xr:uid="{00000000-0004-0000-1F00-000001000000}"/>
    <hyperlink ref="B32" r:id="rId3" xr:uid="{00000000-0004-0000-1F00-000002000000}"/>
    <hyperlink ref="B33" r:id="rId4" xr:uid="{00000000-0004-0000-1F00-000003000000}"/>
    <hyperlink ref="B34" r:id="rId5" xr:uid="{00000000-0004-0000-1F00-000004000000}"/>
    <hyperlink ref="B35" r:id="rId6" xr:uid="{00000000-0004-0000-1F00-000005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AA926"/>
  <sheetViews>
    <sheetView workbookViewId="0"/>
  </sheetViews>
  <sheetFormatPr defaultColWidth="12.5703125" defaultRowHeight="15.75" customHeight="1"/>
  <cols>
    <col min="1" max="1" width="4.85546875" customWidth="1"/>
    <col min="2" max="2" width="48.42578125" customWidth="1"/>
    <col min="6" max="6" width="12" customWidth="1"/>
    <col min="17" max="17" width="16.28515625" customWidth="1"/>
  </cols>
  <sheetData>
    <row r="1" spans="1:27">
      <c r="A1" s="11" t="s">
        <v>11</v>
      </c>
      <c r="B1" s="386" t="s">
        <v>12</v>
      </c>
      <c r="C1" s="11" t="s">
        <v>3</v>
      </c>
      <c r="D1" s="11" t="s">
        <v>13</v>
      </c>
      <c r="E1" s="11" t="s">
        <v>4</v>
      </c>
      <c r="F1" s="12"/>
      <c r="G1" s="12"/>
      <c r="H1" s="12"/>
      <c r="I1" s="12"/>
    </row>
    <row r="2" spans="1:27">
      <c r="A2" s="13">
        <v>1</v>
      </c>
      <c r="B2" s="387" t="s">
        <v>14</v>
      </c>
      <c r="C2" s="106">
        <v>21.5</v>
      </c>
      <c r="D2" s="15">
        <v>30</v>
      </c>
      <c r="E2" s="15">
        <f t="shared" ref="E2:E10" si="0">D2*C2</f>
        <v>645</v>
      </c>
      <c r="F2" s="8"/>
      <c r="G2" s="12"/>
      <c r="H2" s="12"/>
      <c r="I2" s="12"/>
    </row>
    <row r="3" spans="1:27">
      <c r="A3" s="13">
        <v>2</v>
      </c>
      <c r="B3" s="387" t="s">
        <v>15</v>
      </c>
      <c r="C3" s="106">
        <v>324.5</v>
      </c>
      <c r="D3" s="17">
        <v>25</v>
      </c>
      <c r="E3" s="17">
        <f t="shared" si="0"/>
        <v>8112.5</v>
      </c>
      <c r="F3" s="8"/>
      <c r="G3" s="12"/>
      <c r="H3" s="8"/>
      <c r="I3" s="12"/>
    </row>
    <row r="4" spans="1:27">
      <c r="A4" s="13">
        <v>3</v>
      </c>
      <c r="B4" s="387" t="s">
        <v>16</v>
      </c>
      <c r="C4" s="106">
        <v>7</v>
      </c>
      <c r="D4" s="17">
        <v>25</v>
      </c>
      <c r="E4" s="17">
        <f t="shared" si="0"/>
        <v>175</v>
      </c>
      <c r="F4" s="12"/>
      <c r="G4" s="12"/>
      <c r="H4" s="12"/>
      <c r="I4" s="12"/>
    </row>
    <row r="5" spans="1:27">
      <c r="A5" s="13">
        <v>4</v>
      </c>
      <c r="B5" s="388" t="s">
        <v>17</v>
      </c>
      <c r="C5" s="108">
        <v>24</v>
      </c>
      <c r="D5" s="19">
        <v>50</v>
      </c>
      <c r="E5" s="19">
        <f t="shared" si="0"/>
        <v>1200</v>
      </c>
      <c r="F5" s="8"/>
      <c r="G5" s="12"/>
      <c r="H5" s="12"/>
      <c r="I5" s="12"/>
    </row>
    <row r="6" spans="1:27">
      <c r="A6" s="13">
        <v>5</v>
      </c>
      <c r="B6" s="389" t="s">
        <v>18</v>
      </c>
      <c r="C6" s="109">
        <v>98</v>
      </c>
      <c r="D6" s="21">
        <v>40</v>
      </c>
      <c r="E6" s="21">
        <f t="shared" si="0"/>
        <v>3920</v>
      </c>
      <c r="F6" s="8"/>
      <c r="G6" s="12"/>
      <c r="H6" s="12"/>
      <c r="I6" s="12"/>
    </row>
    <row r="7" spans="1:27">
      <c r="A7" s="13">
        <v>6</v>
      </c>
      <c r="B7" s="389" t="s">
        <v>19</v>
      </c>
      <c r="C7" s="109">
        <v>327</v>
      </c>
      <c r="D7" s="22">
        <v>40</v>
      </c>
      <c r="E7" s="22">
        <f t="shared" si="0"/>
        <v>13080</v>
      </c>
      <c r="F7" s="8"/>
      <c r="G7" s="12"/>
      <c r="H7" s="12"/>
      <c r="I7" s="12"/>
    </row>
    <row r="8" spans="1:27">
      <c r="A8" s="13">
        <v>7</v>
      </c>
      <c r="B8" s="390" t="s">
        <v>20</v>
      </c>
      <c r="C8" s="111">
        <v>51.5</v>
      </c>
      <c r="D8" s="24">
        <v>35</v>
      </c>
      <c r="E8" s="24">
        <f t="shared" si="0"/>
        <v>1802.5</v>
      </c>
      <c r="F8" s="12"/>
      <c r="G8" s="12"/>
      <c r="H8" s="12"/>
      <c r="I8" s="12"/>
    </row>
    <row r="9" spans="1:27">
      <c r="A9" s="13">
        <v>8</v>
      </c>
      <c r="B9" s="390" t="s">
        <v>20</v>
      </c>
      <c r="C9" s="111"/>
      <c r="D9" s="24">
        <v>35</v>
      </c>
      <c r="E9" s="24">
        <f t="shared" si="0"/>
        <v>0</v>
      </c>
      <c r="F9" s="12"/>
      <c r="G9" s="12"/>
      <c r="H9" s="12"/>
      <c r="I9" s="12"/>
    </row>
    <row r="10" spans="1:27">
      <c r="A10" s="13">
        <v>9</v>
      </c>
      <c r="B10" s="390" t="s">
        <v>21</v>
      </c>
      <c r="C10" s="23"/>
      <c r="D10" s="26">
        <v>25</v>
      </c>
      <c r="E10" s="24">
        <f t="shared" si="0"/>
        <v>0</v>
      </c>
      <c r="F10" s="12"/>
      <c r="G10" s="12"/>
      <c r="H10" s="12"/>
      <c r="I10" s="12"/>
    </row>
    <row r="11" spans="1:27">
      <c r="A11" s="474"/>
      <c r="B11" s="475"/>
      <c r="C11" s="475"/>
      <c r="D11" s="476"/>
      <c r="E11" s="27">
        <f>SUM(E2:E10)</f>
        <v>28935</v>
      </c>
      <c r="F11" s="12"/>
      <c r="G11" s="12"/>
      <c r="H11" s="12"/>
      <c r="I11" s="12"/>
    </row>
    <row r="12" spans="1:27">
      <c r="A12" s="12"/>
      <c r="B12" s="333"/>
      <c r="C12" s="12"/>
      <c r="D12" s="12"/>
      <c r="E12" s="12"/>
      <c r="F12" s="12"/>
      <c r="G12" s="391"/>
      <c r="H12" s="12"/>
      <c r="I12" s="12"/>
    </row>
    <row r="13" spans="1:27">
      <c r="A13" s="477"/>
      <c r="B13" s="478"/>
      <c r="C13" s="479" t="s">
        <v>22</v>
      </c>
      <c r="D13" s="480"/>
      <c r="E13" s="480"/>
      <c r="F13" s="480"/>
      <c r="G13" s="480"/>
      <c r="H13" s="480"/>
      <c r="I13" s="478"/>
      <c r="J13" s="481" t="s">
        <v>5</v>
      </c>
      <c r="K13" s="483" t="s">
        <v>23</v>
      </c>
      <c r="L13" s="480"/>
      <c r="M13" s="480"/>
      <c r="N13" s="480"/>
      <c r="O13" s="480"/>
      <c r="P13" s="480"/>
      <c r="Q13" s="478"/>
      <c r="R13" s="114"/>
      <c r="S13" s="114"/>
      <c r="T13" s="114"/>
      <c r="U13" s="114"/>
      <c r="V13" s="114"/>
      <c r="W13" s="114"/>
      <c r="X13" s="114"/>
      <c r="Y13" s="114"/>
      <c r="Z13" s="114"/>
      <c r="AA13" s="114"/>
    </row>
    <row r="14" spans="1:27">
      <c r="A14" s="28" t="s">
        <v>11</v>
      </c>
      <c r="B14" s="28" t="s">
        <v>0</v>
      </c>
      <c r="C14" s="28" t="s">
        <v>24</v>
      </c>
      <c r="D14" s="29" t="s">
        <v>25</v>
      </c>
      <c r="E14" s="28" t="s">
        <v>26</v>
      </c>
      <c r="F14" s="28" t="s">
        <v>27</v>
      </c>
      <c r="G14" s="28" t="s">
        <v>28</v>
      </c>
      <c r="H14" s="28" t="s">
        <v>21</v>
      </c>
      <c r="I14" s="30" t="s">
        <v>29</v>
      </c>
      <c r="J14" s="482"/>
      <c r="K14" s="31" t="s">
        <v>24</v>
      </c>
      <c r="L14" s="31" t="s">
        <v>25</v>
      </c>
      <c r="M14" s="31" t="s">
        <v>26</v>
      </c>
      <c r="N14" s="31" t="s">
        <v>27</v>
      </c>
      <c r="O14" s="31" t="s">
        <v>28</v>
      </c>
      <c r="P14" s="31" t="s">
        <v>21</v>
      </c>
      <c r="Q14" s="32" t="s">
        <v>30</v>
      </c>
    </row>
    <row r="15" spans="1:27">
      <c r="A15" s="392">
        <v>2</v>
      </c>
      <c r="B15" s="393" t="s">
        <v>529</v>
      </c>
      <c r="C15" s="394"/>
      <c r="D15" s="351"/>
      <c r="E15" s="394"/>
      <c r="F15" s="394"/>
      <c r="G15" s="394"/>
      <c r="H15" s="394"/>
      <c r="I15" s="385">
        <f t="shared" ref="I15:I75" si="1">C15*25+D15*30+E15*50+F15*40+G15*35+H15*25</f>
        <v>0</v>
      </c>
      <c r="J15" s="395" t="s">
        <v>31</v>
      </c>
      <c r="K15" s="396"/>
      <c r="L15" s="396"/>
      <c r="M15" s="396"/>
      <c r="N15" s="396"/>
      <c r="O15" s="396"/>
      <c r="P15" s="396"/>
      <c r="Q15" s="397">
        <f t="shared" ref="Q15:Q17" si="2">K15*25+L15*30+M15*50+N15*40+O15*35+P15*25</f>
        <v>0</v>
      </c>
    </row>
    <row r="16" spans="1:27">
      <c r="A16" s="392">
        <v>45659</v>
      </c>
      <c r="B16" s="393" t="s">
        <v>575</v>
      </c>
      <c r="C16" s="398">
        <v>16</v>
      </c>
      <c r="D16" s="398">
        <v>1</v>
      </c>
      <c r="E16" s="399">
        <v>1</v>
      </c>
      <c r="F16" s="399">
        <v>44.5</v>
      </c>
      <c r="G16" s="394"/>
      <c r="H16" s="394"/>
      <c r="I16" s="385">
        <f t="shared" si="1"/>
        <v>2260</v>
      </c>
      <c r="J16" s="395" t="s">
        <v>31</v>
      </c>
      <c r="K16" s="400">
        <v>16</v>
      </c>
      <c r="L16" s="400">
        <v>1</v>
      </c>
      <c r="M16" s="400">
        <v>1</v>
      </c>
      <c r="N16" s="400">
        <v>52</v>
      </c>
      <c r="O16" s="396"/>
      <c r="P16" s="396"/>
      <c r="Q16" s="397">
        <f t="shared" si="2"/>
        <v>2560</v>
      </c>
    </row>
    <row r="17" spans="1:17">
      <c r="A17" s="392">
        <v>45690</v>
      </c>
      <c r="B17" s="393" t="s">
        <v>576</v>
      </c>
      <c r="C17" s="510"/>
      <c r="D17" s="480"/>
      <c r="E17" s="480"/>
      <c r="F17" s="480"/>
      <c r="G17" s="480"/>
      <c r="H17" s="478"/>
      <c r="I17" s="385">
        <f t="shared" si="1"/>
        <v>0</v>
      </c>
      <c r="J17" s="395" t="s">
        <v>31</v>
      </c>
      <c r="K17" s="400">
        <v>12</v>
      </c>
      <c r="L17" s="400">
        <v>1</v>
      </c>
      <c r="M17" s="400">
        <v>1</v>
      </c>
      <c r="N17" s="400">
        <v>48</v>
      </c>
      <c r="O17" s="396"/>
      <c r="P17" s="396"/>
      <c r="Q17" s="397">
        <f t="shared" si="2"/>
        <v>2300</v>
      </c>
    </row>
    <row r="18" spans="1:17">
      <c r="A18" s="392" t="s">
        <v>32</v>
      </c>
      <c r="B18" s="393" t="s">
        <v>577</v>
      </c>
      <c r="C18" s="398">
        <v>12</v>
      </c>
      <c r="D18" s="398">
        <v>1</v>
      </c>
      <c r="E18" s="399">
        <v>1.5</v>
      </c>
      <c r="F18" s="399">
        <v>40.5</v>
      </c>
      <c r="G18" s="394"/>
      <c r="H18" s="394"/>
      <c r="I18" s="385">
        <f t="shared" si="1"/>
        <v>2025</v>
      </c>
      <c r="J18" s="395" t="s">
        <v>31</v>
      </c>
      <c r="K18" s="396"/>
      <c r="L18" s="396"/>
      <c r="M18" s="396"/>
      <c r="N18" s="396"/>
      <c r="O18" s="396"/>
      <c r="P18" s="396"/>
      <c r="Q18" s="401"/>
    </row>
    <row r="19" spans="1:17">
      <c r="A19" s="392" t="s">
        <v>32</v>
      </c>
      <c r="B19" s="393" t="s">
        <v>578</v>
      </c>
      <c r="C19" s="398">
        <v>1</v>
      </c>
      <c r="D19" s="351"/>
      <c r="E19" s="394"/>
      <c r="F19" s="398">
        <v>1</v>
      </c>
      <c r="G19" s="394"/>
      <c r="H19" s="394"/>
      <c r="I19" s="385">
        <f t="shared" si="1"/>
        <v>65</v>
      </c>
      <c r="J19" s="395" t="s">
        <v>31</v>
      </c>
      <c r="K19" s="396"/>
      <c r="L19" s="396"/>
      <c r="M19" s="396"/>
      <c r="N19" s="396"/>
      <c r="O19" s="396"/>
      <c r="P19" s="396"/>
      <c r="Q19" s="401"/>
    </row>
    <row r="20" spans="1:17">
      <c r="A20" s="392">
        <v>45718</v>
      </c>
      <c r="B20" s="393" t="s">
        <v>579</v>
      </c>
      <c r="C20" s="398">
        <v>12</v>
      </c>
      <c r="D20" s="351"/>
      <c r="E20" s="399">
        <v>1.5</v>
      </c>
      <c r="F20" s="399">
        <v>46.5</v>
      </c>
      <c r="G20" s="394"/>
      <c r="H20" s="394"/>
      <c r="I20" s="385">
        <f t="shared" si="1"/>
        <v>2235</v>
      </c>
      <c r="J20" s="395" t="s">
        <v>31</v>
      </c>
      <c r="K20" s="400">
        <v>12</v>
      </c>
      <c r="L20" s="400">
        <v>1</v>
      </c>
      <c r="M20" s="400">
        <v>1</v>
      </c>
      <c r="N20" s="400">
        <v>48</v>
      </c>
      <c r="O20" s="396"/>
      <c r="P20" s="396"/>
      <c r="Q20" s="397">
        <f t="shared" ref="Q20:Q21" si="3">K20*25+L20*30+M20*50+N20*40+O20*35+P20*25</f>
        <v>2300</v>
      </c>
    </row>
    <row r="21" spans="1:17">
      <c r="A21" s="392">
        <v>45749</v>
      </c>
      <c r="B21" s="393" t="s">
        <v>580</v>
      </c>
      <c r="C21" s="510"/>
      <c r="D21" s="480"/>
      <c r="E21" s="480"/>
      <c r="F21" s="480"/>
      <c r="G21" s="480"/>
      <c r="H21" s="478"/>
      <c r="I21" s="385">
        <f t="shared" si="1"/>
        <v>0</v>
      </c>
      <c r="J21" s="395" t="s">
        <v>31</v>
      </c>
      <c r="K21" s="400">
        <v>12</v>
      </c>
      <c r="L21" s="400">
        <v>1</v>
      </c>
      <c r="M21" s="400">
        <v>1</v>
      </c>
      <c r="N21" s="400">
        <v>12</v>
      </c>
      <c r="O21" s="396"/>
      <c r="P21" s="396"/>
      <c r="Q21" s="397">
        <f t="shared" si="3"/>
        <v>860</v>
      </c>
    </row>
    <row r="22" spans="1:17">
      <c r="A22" s="392" t="s">
        <v>32</v>
      </c>
      <c r="B22" s="393" t="s">
        <v>581</v>
      </c>
      <c r="C22" s="398">
        <v>11.5</v>
      </c>
      <c r="D22" s="398">
        <v>1</v>
      </c>
      <c r="E22" s="399">
        <v>1</v>
      </c>
      <c r="F22" s="399">
        <v>19.5</v>
      </c>
      <c r="G22" s="394"/>
      <c r="H22" s="394"/>
      <c r="I22" s="385">
        <f t="shared" si="1"/>
        <v>1147.5</v>
      </c>
      <c r="J22" s="395" t="s">
        <v>31</v>
      </c>
      <c r="K22" s="396"/>
      <c r="L22" s="396"/>
      <c r="M22" s="396"/>
      <c r="N22" s="396"/>
      <c r="O22" s="396"/>
      <c r="P22" s="396"/>
      <c r="Q22" s="401"/>
    </row>
    <row r="23" spans="1:17">
      <c r="A23" s="373" t="s">
        <v>32</v>
      </c>
      <c r="B23" s="393" t="s">
        <v>582</v>
      </c>
      <c r="C23" s="398">
        <v>1</v>
      </c>
      <c r="D23" s="351"/>
      <c r="E23" s="394"/>
      <c r="F23" s="398">
        <v>3</v>
      </c>
      <c r="G23" s="394"/>
      <c r="H23" s="394"/>
      <c r="I23" s="385">
        <f t="shared" si="1"/>
        <v>145</v>
      </c>
      <c r="J23" s="395" t="s">
        <v>31</v>
      </c>
      <c r="K23" s="396"/>
      <c r="L23" s="396"/>
      <c r="M23" s="396"/>
      <c r="N23" s="396"/>
      <c r="O23" s="396"/>
      <c r="P23" s="396"/>
      <c r="Q23" s="401"/>
    </row>
    <row r="24" spans="1:17">
      <c r="A24" s="373" t="s">
        <v>32</v>
      </c>
      <c r="B24" s="393" t="s">
        <v>583</v>
      </c>
      <c r="C24" s="394"/>
      <c r="D24" s="351"/>
      <c r="E24" s="394"/>
      <c r="F24" s="398">
        <v>4</v>
      </c>
      <c r="G24" s="394"/>
      <c r="H24" s="394"/>
      <c r="I24" s="385">
        <f t="shared" si="1"/>
        <v>160</v>
      </c>
      <c r="J24" s="395" t="s">
        <v>31</v>
      </c>
      <c r="K24" s="396"/>
      <c r="L24" s="396"/>
      <c r="M24" s="396"/>
      <c r="N24" s="396"/>
      <c r="O24" s="396"/>
      <c r="P24" s="396"/>
      <c r="Q24" s="401"/>
    </row>
    <row r="25" spans="1:17">
      <c r="A25" s="392" t="s">
        <v>32</v>
      </c>
      <c r="B25" s="393" t="s">
        <v>584</v>
      </c>
      <c r="C25" s="398">
        <v>1</v>
      </c>
      <c r="D25" s="351"/>
      <c r="E25" s="394"/>
      <c r="F25" s="398">
        <v>2</v>
      </c>
      <c r="G25" s="394"/>
      <c r="H25" s="394"/>
      <c r="I25" s="385">
        <f t="shared" si="1"/>
        <v>105</v>
      </c>
      <c r="J25" s="395" t="s">
        <v>31</v>
      </c>
      <c r="K25" s="396"/>
      <c r="L25" s="396"/>
      <c r="M25" s="396"/>
      <c r="N25" s="396"/>
      <c r="O25" s="396"/>
      <c r="P25" s="396"/>
      <c r="Q25" s="401"/>
    </row>
    <row r="26" spans="1:17">
      <c r="A26" s="392">
        <v>45779</v>
      </c>
      <c r="B26" s="393" t="s">
        <v>585</v>
      </c>
      <c r="C26" s="394"/>
      <c r="D26" s="351"/>
      <c r="E26" s="394"/>
      <c r="F26" s="394"/>
      <c r="G26" s="394"/>
      <c r="H26" s="394"/>
      <c r="I26" s="385">
        <f t="shared" si="1"/>
        <v>0</v>
      </c>
      <c r="J26" s="395" t="s">
        <v>31</v>
      </c>
      <c r="K26" s="396"/>
      <c r="L26" s="396"/>
      <c r="M26" s="396"/>
      <c r="N26" s="396"/>
      <c r="O26" s="396"/>
      <c r="P26" s="396"/>
      <c r="Q26" s="397">
        <f t="shared" ref="Q26:Q35" si="4">K26*25+L26*30+M26*50+N26*40+O26*35+P26*25</f>
        <v>0</v>
      </c>
    </row>
    <row r="27" spans="1:17">
      <c r="A27" s="392" t="s">
        <v>32</v>
      </c>
      <c r="B27" s="393" t="s">
        <v>586</v>
      </c>
      <c r="C27" s="399">
        <v>2</v>
      </c>
      <c r="D27" s="398">
        <v>2</v>
      </c>
      <c r="E27" s="394"/>
      <c r="F27" s="398">
        <v>14</v>
      </c>
      <c r="G27" s="394"/>
      <c r="H27" s="394"/>
      <c r="I27" s="385">
        <f t="shared" si="1"/>
        <v>670</v>
      </c>
      <c r="J27" s="395" t="s">
        <v>31</v>
      </c>
      <c r="K27" s="400">
        <v>2</v>
      </c>
      <c r="L27" s="400">
        <v>2</v>
      </c>
      <c r="M27" s="396"/>
      <c r="N27" s="400">
        <v>20</v>
      </c>
      <c r="O27" s="396"/>
      <c r="P27" s="396"/>
      <c r="Q27" s="397">
        <f t="shared" si="4"/>
        <v>910</v>
      </c>
    </row>
    <row r="28" spans="1:17">
      <c r="A28" s="392" t="s">
        <v>32</v>
      </c>
      <c r="B28" s="393" t="s">
        <v>587</v>
      </c>
      <c r="C28" s="398">
        <v>24</v>
      </c>
      <c r="D28" s="398">
        <v>2</v>
      </c>
      <c r="E28" s="399">
        <v>2.5</v>
      </c>
      <c r="F28" s="398">
        <v>50</v>
      </c>
      <c r="G28" s="394"/>
      <c r="H28" s="394"/>
      <c r="I28" s="385">
        <f t="shared" si="1"/>
        <v>2785</v>
      </c>
      <c r="J28" s="395" t="s">
        <v>31</v>
      </c>
      <c r="K28" s="400">
        <v>2</v>
      </c>
      <c r="L28" s="400">
        <v>2</v>
      </c>
      <c r="M28" s="400">
        <v>2</v>
      </c>
      <c r="N28" s="400">
        <v>32</v>
      </c>
      <c r="O28" s="396"/>
      <c r="P28" s="396"/>
      <c r="Q28" s="397">
        <f t="shared" si="4"/>
        <v>1490</v>
      </c>
    </row>
    <row r="29" spans="1:17">
      <c r="A29" s="392">
        <v>45810</v>
      </c>
      <c r="B29" s="393" t="s">
        <v>588</v>
      </c>
      <c r="C29" s="510"/>
      <c r="D29" s="480"/>
      <c r="E29" s="480"/>
      <c r="F29" s="480"/>
      <c r="G29" s="480"/>
      <c r="H29" s="478"/>
      <c r="I29" s="385">
        <f t="shared" si="1"/>
        <v>0</v>
      </c>
      <c r="J29" s="508" t="s">
        <v>589</v>
      </c>
      <c r="K29" s="396"/>
      <c r="L29" s="396"/>
      <c r="M29" s="396"/>
      <c r="N29" s="396"/>
      <c r="O29" s="396"/>
      <c r="P29" s="396"/>
      <c r="Q29" s="397">
        <f t="shared" si="4"/>
        <v>0</v>
      </c>
    </row>
    <row r="30" spans="1:17">
      <c r="A30" s="402" t="s">
        <v>32</v>
      </c>
      <c r="B30" s="403" t="s">
        <v>590</v>
      </c>
      <c r="C30" s="394"/>
      <c r="D30" s="351"/>
      <c r="E30" s="394"/>
      <c r="F30" s="394"/>
      <c r="G30" s="394"/>
      <c r="H30" s="394"/>
      <c r="I30" s="385">
        <f t="shared" si="1"/>
        <v>0</v>
      </c>
      <c r="J30" s="509"/>
      <c r="K30" s="396"/>
      <c r="L30" s="396"/>
      <c r="M30" s="396"/>
      <c r="N30" s="396"/>
      <c r="O30" s="396"/>
      <c r="P30" s="396"/>
      <c r="Q30" s="397">
        <f t="shared" si="4"/>
        <v>0</v>
      </c>
    </row>
    <row r="31" spans="1:17">
      <c r="A31" s="402" t="s">
        <v>32</v>
      </c>
      <c r="B31" s="403" t="s">
        <v>591</v>
      </c>
      <c r="C31" s="394"/>
      <c r="D31" s="351"/>
      <c r="E31" s="394"/>
      <c r="F31" s="394"/>
      <c r="G31" s="394"/>
      <c r="H31" s="394"/>
      <c r="I31" s="385">
        <f t="shared" si="1"/>
        <v>0</v>
      </c>
      <c r="J31" s="509"/>
      <c r="K31" s="396"/>
      <c r="L31" s="396"/>
      <c r="M31" s="396"/>
      <c r="N31" s="396"/>
      <c r="O31" s="396"/>
      <c r="P31" s="396"/>
      <c r="Q31" s="397">
        <f t="shared" si="4"/>
        <v>0</v>
      </c>
    </row>
    <row r="32" spans="1:17">
      <c r="A32" s="392">
        <v>45840</v>
      </c>
      <c r="B32" s="404" t="s">
        <v>592</v>
      </c>
      <c r="C32" s="399">
        <v>15</v>
      </c>
      <c r="D32" s="398">
        <v>1</v>
      </c>
      <c r="E32" s="399">
        <v>2</v>
      </c>
      <c r="F32" s="394"/>
      <c r="G32" s="394"/>
      <c r="H32" s="394"/>
      <c r="I32" s="385">
        <f t="shared" si="1"/>
        <v>505</v>
      </c>
      <c r="J32" s="405" t="s">
        <v>589</v>
      </c>
      <c r="K32" s="400">
        <v>12</v>
      </c>
      <c r="L32" s="396"/>
      <c r="M32" s="396"/>
      <c r="N32" s="400">
        <v>0</v>
      </c>
      <c r="O32" s="396"/>
      <c r="P32" s="396"/>
      <c r="Q32" s="397">
        <f t="shared" si="4"/>
        <v>300</v>
      </c>
    </row>
    <row r="33" spans="1:17">
      <c r="A33" s="392">
        <v>45871</v>
      </c>
      <c r="B33" s="403" t="s">
        <v>593</v>
      </c>
      <c r="C33" s="399">
        <v>1.5</v>
      </c>
      <c r="D33" s="351"/>
      <c r="E33" s="399">
        <v>1</v>
      </c>
      <c r="F33" s="398">
        <v>10</v>
      </c>
      <c r="G33" s="394"/>
      <c r="H33" s="394"/>
      <c r="I33" s="385">
        <f t="shared" si="1"/>
        <v>487.5</v>
      </c>
      <c r="J33" s="395" t="s">
        <v>31</v>
      </c>
      <c r="K33" s="396"/>
      <c r="L33" s="396"/>
      <c r="M33" s="396"/>
      <c r="N33" s="400">
        <v>12</v>
      </c>
      <c r="O33" s="396"/>
      <c r="P33" s="396"/>
      <c r="Q33" s="397">
        <f t="shared" si="4"/>
        <v>480</v>
      </c>
    </row>
    <row r="34" spans="1:17">
      <c r="A34" s="392">
        <v>45902</v>
      </c>
      <c r="B34" s="403" t="s">
        <v>594</v>
      </c>
      <c r="C34" s="394"/>
      <c r="D34" s="351"/>
      <c r="E34" s="399">
        <v>0.5</v>
      </c>
      <c r="F34" s="394"/>
      <c r="G34" s="398">
        <v>12</v>
      </c>
      <c r="H34" s="394"/>
      <c r="I34" s="385">
        <f t="shared" si="1"/>
        <v>445</v>
      </c>
      <c r="J34" s="395" t="s">
        <v>31</v>
      </c>
      <c r="K34" s="400">
        <v>4</v>
      </c>
      <c r="L34" s="396"/>
      <c r="M34" s="396"/>
      <c r="N34" s="400">
        <v>4</v>
      </c>
      <c r="O34" s="400">
        <v>1</v>
      </c>
      <c r="P34" s="396"/>
      <c r="Q34" s="397">
        <f t="shared" si="4"/>
        <v>295</v>
      </c>
    </row>
    <row r="35" spans="1:17">
      <c r="A35" s="392">
        <v>45932</v>
      </c>
      <c r="B35" s="393" t="s">
        <v>595</v>
      </c>
      <c r="C35" s="510"/>
      <c r="D35" s="480"/>
      <c r="E35" s="480"/>
      <c r="F35" s="480"/>
      <c r="G35" s="480"/>
      <c r="H35" s="478"/>
      <c r="I35" s="385">
        <f t="shared" si="1"/>
        <v>0</v>
      </c>
      <c r="J35" s="395" t="s">
        <v>31</v>
      </c>
      <c r="K35" s="400">
        <v>32</v>
      </c>
      <c r="L35" s="400">
        <v>6</v>
      </c>
      <c r="M35" s="396"/>
      <c r="N35" s="396"/>
      <c r="O35" s="396"/>
      <c r="P35" s="396"/>
      <c r="Q35" s="397">
        <f t="shared" si="4"/>
        <v>980</v>
      </c>
    </row>
    <row r="36" spans="1:17">
      <c r="A36" s="373" t="s">
        <v>32</v>
      </c>
      <c r="B36" s="393" t="s">
        <v>596</v>
      </c>
      <c r="C36" s="399">
        <v>6.5</v>
      </c>
      <c r="D36" s="351"/>
      <c r="E36" s="394"/>
      <c r="F36" s="394"/>
      <c r="G36" s="394"/>
      <c r="H36" s="394"/>
      <c r="I36" s="385">
        <f t="shared" si="1"/>
        <v>162.5</v>
      </c>
      <c r="J36" s="395" t="s">
        <v>31</v>
      </c>
      <c r="K36" s="511"/>
      <c r="L36" s="485"/>
      <c r="M36" s="485"/>
      <c r="N36" s="485"/>
      <c r="O36" s="485"/>
      <c r="P36" s="485"/>
      <c r="Q36" s="486"/>
    </row>
    <row r="37" spans="1:17">
      <c r="A37" s="373" t="s">
        <v>32</v>
      </c>
      <c r="B37" s="393" t="s">
        <v>597</v>
      </c>
      <c r="C37" s="399">
        <v>3</v>
      </c>
      <c r="D37" s="351"/>
      <c r="E37" s="394"/>
      <c r="F37" s="394"/>
      <c r="G37" s="394"/>
      <c r="H37" s="394"/>
      <c r="I37" s="385">
        <f t="shared" si="1"/>
        <v>75</v>
      </c>
      <c r="J37" s="395" t="s">
        <v>31</v>
      </c>
      <c r="K37" s="487"/>
      <c r="L37" s="488"/>
      <c r="M37" s="488"/>
      <c r="N37" s="488"/>
      <c r="O37" s="488"/>
      <c r="P37" s="488"/>
      <c r="Q37" s="489"/>
    </row>
    <row r="38" spans="1:17">
      <c r="A38" s="373" t="s">
        <v>32</v>
      </c>
      <c r="B38" s="393" t="s">
        <v>598</v>
      </c>
      <c r="C38" s="399">
        <v>20.5</v>
      </c>
      <c r="D38" s="398">
        <v>2</v>
      </c>
      <c r="E38" s="394"/>
      <c r="F38" s="394"/>
      <c r="G38" s="394"/>
      <c r="H38" s="394"/>
      <c r="I38" s="385">
        <f t="shared" si="1"/>
        <v>572.5</v>
      </c>
      <c r="J38" s="395" t="s">
        <v>31</v>
      </c>
      <c r="K38" s="487"/>
      <c r="L38" s="488"/>
      <c r="M38" s="488"/>
      <c r="N38" s="488"/>
      <c r="O38" s="488"/>
      <c r="P38" s="488"/>
      <c r="Q38" s="489"/>
    </row>
    <row r="39" spans="1:17">
      <c r="A39" s="373" t="s">
        <v>32</v>
      </c>
      <c r="B39" s="393" t="s">
        <v>599</v>
      </c>
      <c r="C39" s="399">
        <v>31</v>
      </c>
      <c r="D39" s="398">
        <v>2</v>
      </c>
      <c r="E39" s="399">
        <v>0.5</v>
      </c>
      <c r="F39" s="394"/>
      <c r="G39" s="394"/>
      <c r="H39" s="394"/>
      <c r="I39" s="385">
        <f t="shared" si="1"/>
        <v>860</v>
      </c>
      <c r="J39" s="395" t="s">
        <v>31</v>
      </c>
      <c r="K39" s="487"/>
      <c r="L39" s="488"/>
      <c r="M39" s="488"/>
      <c r="N39" s="488"/>
      <c r="O39" s="488"/>
      <c r="P39" s="488"/>
      <c r="Q39" s="489"/>
    </row>
    <row r="40" spans="1:17">
      <c r="A40" s="373" t="s">
        <v>32</v>
      </c>
      <c r="B40" s="393" t="s">
        <v>600</v>
      </c>
      <c r="C40" s="399">
        <v>21</v>
      </c>
      <c r="D40" s="398">
        <v>2</v>
      </c>
      <c r="E40" s="394"/>
      <c r="F40" s="394"/>
      <c r="G40" s="394"/>
      <c r="H40" s="394"/>
      <c r="I40" s="385">
        <f t="shared" si="1"/>
        <v>585</v>
      </c>
      <c r="J40" s="395" t="s">
        <v>31</v>
      </c>
      <c r="K40" s="487"/>
      <c r="L40" s="488"/>
      <c r="M40" s="488"/>
      <c r="N40" s="488"/>
      <c r="O40" s="488"/>
      <c r="P40" s="488"/>
      <c r="Q40" s="489"/>
    </row>
    <row r="41" spans="1:17">
      <c r="A41" s="373" t="s">
        <v>32</v>
      </c>
      <c r="B41" s="393" t="s">
        <v>601</v>
      </c>
      <c r="C41" s="399">
        <v>15</v>
      </c>
      <c r="D41" s="398">
        <v>2</v>
      </c>
      <c r="E41" s="399">
        <v>1</v>
      </c>
      <c r="F41" s="394"/>
      <c r="G41" s="394"/>
      <c r="H41" s="394"/>
      <c r="I41" s="385">
        <f t="shared" si="1"/>
        <v>485</v>
      </c>
      <c r="J41" s="395" t="s">
        <v>31</v>
      </c>
      <c r="K41" s="487"/>
      <c r="L41" s="488"/>
      <c r="M41" s="488"/>
      <c r="N41" s="488"/>
      <c r="O41" s="488"/>
      <c r="P41" s="488"/>
      <c r="Q41" s="489"/>
    </row>
    <row r="42" spans="1:17">
      <c r="A42" s="373" t="s">
        <v>32</v>
      </c>
      <c r="B42" s="406" t="s">
        <v>602</v>
      </c>
      <c r="C42" s="399">
        <v>8</v>
      </c>
      <c r="D42" s="399">
        <v>0.5</v>
      </c>
      <c r="E42" s="394"/>
      <c r="F42" s="394"/>
      <c r="G42" s="394"/>
      <c r="H42" s="394"/>
      <c r="I42" s="385">
        <f t="shared" si="1"/>
        <v>215</v>
      </c>
      <c r="J42" s="395" t="s">
        <v>31</v>
      </c>
      <c r="K42" s="487"/>
      <c r="L42" s="488"/>
      <c r="M42" s="488"/>
      <c r="N42" s="488"/>
      <c r="O42" s="488"/>
      <c r="P42" s="488"/>
      <c r="Q42" s="489"/>
    </row>
    <row r="43" spans="1:17">
      <c r="A43" s="373" t="s">
        <v>32</v>
      </c>
      <c r="B43" s="393" t="s">
        <v>603</v>
      </c>
      <c r="C43" s="398">
        <v>11</v>
      </c>
      <c r="D43" s="399">
        <v>0.5</v>
      </c>
      <c r="E43" s="394"/>
      <c r="F43" s="394"/>
      <c r="G43" s="394"/>
      <c r="H43" s="394"/>
      <c r="I43" s="385">
        <f t="shared" si="1"/>
        <v>290</v>
      </c>
      <c r="J43" s="395" t="s">
        <v>31</v>
      </c>
      <c r="K43" s="487"/>
      <c r="L43" s="488"/>
      <c r="M43" s="488"/>
      <c r="N43" s="488"/>
      <c r="O43" s="488"/>
      <c r="P43" s="488"/>
      <c r="Q43" s="489"/>
    </row>
    <row r="44" spans="1:17">
      <c r="A44" s="373" t="s">
        <v>32</v>
      </c>
      <c r="B44" s="407" t="s">
        <v>604</v>
      </c>
      <c r="C44" s="398">
        <v>5</v>
      </c>
      <c r="D44" s="351"/>
      <c r="E44" s="394"/>
      <c r="F44" s="394"/>
      <c r="G44" s="394"/>
      <c r="H44" s="394"/>
      <c r="I44" s="385">
        <f t="shared" si="1"/>
        <v>125</v>
      </c>
      <c r="J44" s="395" t="s">
        <v>31</v>
      </c>
      <c r="K44" s="487"/>
      <c r="L44" s="488"/>
      <c r="M44" s="488"/>
      <c r="N44" s="488"/>
      <c r="O44" s="488"/>
      <c r="P44" s="488"/>
      <c r="Q44" s="489"/>
    </row>
    <row r="45" spans="1:17">
      <c r="A45" s="373" t="s">
        <v>32</v>
      </c>
      <c r="B45" s="393" t="s">
        <v>605</v>
      </c>
      <c r="C45" s="398">
        <v>4</v>
      </c>
      <c r="D45" s="351"/>
      <c r="E45" s="394"/>
      <c r="F45" s="394"/>
      <c r="G45" s="394"/>
      <c r="H45" s="394"/>
      <c r="I45" s="385">
        <f t="shared" si="1"/>
        <v>100</v>
      </c>
      <c r="J45" s="395" t="s">
        <v>31</v>
      </c>
      <c r="K45" s="487"/>
      <c r="L45" s="488"/>
      <c r="M45" s="488"/>
      <c r="N45" s="488"/>
      <c r="O45" s="488"/>
      <c r="P45" s="488"/>
      <c r="Q45" s="489"/>
    </row>
    <row r="46" spans="1:17">
      <c r="A46" s="373" t="s">
        <v>32</v>
      </c>
      <c r="B46" s="407" t="s">
        <v>606</v>
      </c>
      <c r="C46" s="399">
        <v>2.5</v>
      </c>
      <c r="D46" s="351"/>
      <c r="E46" s="394"/>
      <c r="F46" s="394"/>
      <c r="G46" s="394"/>
      <c r="H46" s="394"/>
      <c r="I46" s="385">
        <f t="shared" si="1"/>
        <v>62.5</v>
      </c>
      <c r="J46" s="395" t="s">
        <v>31</v>
      </c>
      <c r="K46" s="487"/>
      <c r="L46" s="488"/>
      <c r="M46" s="488"/>
      <c r="N46" s="488"/>
      <c r="O46" s="488"/>
      <c r="P46" s="488"/>
      <c r="Q46" s="489"/>
    </row>
    <row r="47" spans="1:17">
      <c r="A47" s="373" t="s">
        <v>32</v>
      </c>
      <c r="B47" s="407" t="s">
        <v>607</v>
      </c>
      <c r="C47" s="399">
        <v>2.5</v>
      </c>
      <c r="D47" s="399">
        <v>0.5</v>
      </c>
      <c r="E47" s="394"/>
      <c r="F47" s="394"/>
      <c r="G47" s="394"/>
      <c r="H47" s="394"/>
      <c r="I47" s="385">
        <f t="shared" si="1"/>
        <v>77.5</v>
      </c>
      <c r="J47" s="395" t="s">
        <v>31</v>
      </c>
      <c r="K47" s="487"/>
      <c r="L47" s="488"/>
      <c r="M47" s="488"/>
      <c r="N47" s="488"/>
      <c r="O47" s="488"/>
      <c r="P47" s="488"/>
      <c r="Q47" s="489"/>
    </row>
    <row r="48" spans="1:17">
      <c r="A48" s="373" t="s">
        <v>32</v>
      </c>
      <c r="B48" s="407" t="s">
        <v>608</v>
      </c>
      <c r="C48" s="398">
        <v>7</v>
      </c>
      <c r="D48" s="399">
        <v>1</v>
      </c>
      <c r="E48" s="394"/>
      <c r="F48" s="394"/>
      <c r="G48" s="394"/>
      <c r="H48" s="394"/>
      <c r="I48" s="385">
        <f t="shared" si="1"/>
        <v>205</v>
      </c>
      <c r="J48" s="395" t="s">
        <v>31</v>
      </c>
      <c r="K48" s="487"/>
      <c r="L48" s="488"/>
      <c r="M48" s="488"/>
      <c r="N48" s="488"/>
      <c r="O48" s="488"/>
      <c r="P48" s="488"/>
      <c r="Q48" s="489"/>
    </row>
    <row r="49" spans="1:17">
      <c r="A49" s="373" t="s">
        <v>32</v>
      </c>
      <c r="B49" s="407" t="s">
        <v>609</v>
      </c>
      <c r="C49" s="399">
        <v>1.5</v>
      </c>
      <c r="D49" s="351"/>
      <c r="E49" s="394"/>
      <c r="F49" s="394"/>
      <c r="G49" s="394"/>
      <c r="H49" s="394"/>
      <c r="I49" s="385">
        <f t="shared" si="1"/>
        <v>37.5</v>
      </c>
      <c r="J49" s="395" t="s">
        <v>31</v>
      </c>
      <c r="K49" s="490"/>
      <c r="L49" s="491"/>
      <c r="M49" s="491"/>
      <c r="N49" s="491"/>
      <c r="O49" s="491"/>
      <c r="P49" s="491"/>
      <c r="Q49" s="492"/>
    </row>
    <row r="50" spans="1:17">
      <c r="A50" s="392">
        <v>45963</v>
      </c>
      <c r="B50" s="393" t="s">
        <v>36</v>
      </c>
      <c r="C50" s="510"/>
      <c r="D50" s="480"/>
      <c r="E50" s="480"/>
      <c r="F50" s="480"/>
      <c r="G50" s="480"/>
      <c r="H50" s="478"/>
      <c r="I50" s="385">
        <f t="shared" si="1"/>
        <v>0</v>
      </c>
      <c r="J50" s="395" t="s">
        <v>31</v>
      </c>
      <c r="K50" s="396"/>
      <c r="L50" s="396"/>
      <c r="M50" s="396"/>
      <c r="N50" s="400">
        <v>15</v>
      </c>
      <c r="O50" s="400">
        <v>15</v>
      </c>
      <c r="P50" s="396"/>
      <c r="Q50" s="397">
        <f>K50*25+L50*30+M50*50+N50*40+O50*35+P50*25</f>
        <v>1125</v>
      </c>
    </row>
    <row r="51" spans="1:17">
      <c r="A51" s="373" t="s">
        <v>32</v>
      </c>
      <c r="B51" s="408" t="s">
        <v>610</v>
      </c>
      <c r="C51" s="399">
        <v>0.5</v>
      </c>
      <c r="D51" s="351"/>
      <c r="E51" s="394"/>
      <c r="F51" s="394"/>
      <c r="G51" s="399">
        <v>1.5</v>
      </c>
      <c r="H51" s="394"/>
      <c r="I51" s="385">
        <f t="shared" si="1"/>
        <v>65</v>
      </c>
      <c r="J51" s="395" t="s">
        <v>31</v>
      </c>
      <c r="K51" s="512"/>
      <c r="L51" s="485"/>
      <c r="M51" s="485"/>
      <c r="N51" s="485"/>
      <c r="O51" s="485"/>
      <c r="P51" s="485"/>
      <c r="Q51" s="486"/>
    </row>
    <row r="52" spans="1:17">
      <c r="A52" s="373" t="s">
        <v>32</v>
      </c>
      <c r="B52" s="393" t="s">
        <v>611</v>
      </c>
      <c r="C52" s="399">
        <v>0.5</v>
      </c>
      <c r="D52" s="351"/>
      <c r="E52" s="394"/>
      <c r="F52" s="394"/>
      <c r="G52" s="398">
        <v>1</v>
      </c>
      <c r="H52" s="394"/>
      <c r="I52" s="385">
        <f t="shared" si="1"/>
        <v>47.5</v>
      </c>
      <c r="J52" s="395" t="s">
        <v>31</v>
      </c>
      <c r="K52" s="488"/>
      <c r="L52" s="488"/>
      <c r="M52" s="488"/>
      <c r="N52" s="488"/>
      <c r="O52" s="488"/>
      <c r="P52" s="488"/>
      <c r="Q52" s="489"/>
    </row>
    <row r="53" spans="1:17">
      <c r="A53" s="373" t="s">
        <v>32</v>
      </c>
      <c r="B53" s="393" t="s">
        <v>612</v>
      </c>
      <c r="C53" s="398">
        <v>1</v>
      </c>
      <c r="D53" s="351"/>
      <c r="E53" s="394"/>
      <c r="F53" s="394"/>
      <c r="G53" s="399">
        <v>2.5</v>
      </c>
      <c r="H53" s="394"/>
      <c r="I53" s="385">
        <f t="shared" si="1"/>
        <v>112.5</v>
      </c>
      <c r="J53" s="395" t="s">
        <v>31</v>
      </c>
      <c r="K53" s="488"/>
      <c r="L53" s="488"/>
      <c r="M53" s="488"/>
      <c r="N53" s="488"/>
      <c r="O53" s="488"/>
      <c r="P53" s="488"/>
      <c r="Q53" s="489"/>
    </row>
    <row r="54" spans="1:17">
      <c r="A54" s="373" t="s">
        <v>32</v>
      </c>
      <c r="B54" s="393" t="s">
        <v>613</v>
      </c>
      <c r="C54" s="398">
        <v>1</v>
      </c>
      <c r="D54" s="351"/>
      <c r="E54" s="394"/>
      <c r="F54" s="394"/>
      <c r="G54" s="399">
        <v>2.5</v>
      </c>
      <c r="H54" s="394"/>
      <c r="I54" s="385">
        <f t="shared" si="1"/>
        <v>112.5</v>
      </c>
      <c r="J54" s="395" t="s">
        <v>31</v>
      </c>
      <c r="K54" s="488"/>
      <c r="L54" s="488"/>
      <c r="M54" s="488"/>
      <c r="N54" s="488"/>
      <c r="O54" s="488"/>
      <c r="P54" s="488"/>
      <c r="Q54" s="489"/>
    </row>
    <row r="55" spans="1:17">
      <c r="A55" s="373" t="s">
        <v>32</v>
      </c>
      <c r="B55" s="393" t="s">
        <v>614</v>
      </c>
      <c r="C55" s="399">
        <v>0.5</v>
      </c>
      <c r="D55" s="351"/>
      <c r="E55" s="394"/>
      <c r="F55" s="394"/>
      <c r="G55" s="399">
        <v>1.5</v>
      </c>
      <c r="H55" s="394"/>
      <c r="I55" s="385">
        <f t="shared" si="1"/>
        <v>65</v>
      </c>
      <c r="J55" s="395" t="s">
        <v>31</v>
      </c>
      <c r="K55" s="488"/>
      <c r="L55" s="488"/>
      <c r="M55" s="488"/>
      <c r="N55" s="488"/>
      <c r="O55" s="488"/>
      <c r="P55" s="488"/>
      <c r="Q55" s="489"/>
    </row>
    <row r="56" spans="1:17">
      <c r="A56" s="373" t="s">
        <v>32</v>
      </c>
      <c r="B56" s="393" t="s">
        <v>615</v>
      </c>
      <c r="C56" s="398">
        <v>1</v>
      </c>
      <c r="D56" s="351"/>
      <c r="E56" s="394"/>
      <c r="F56" s="394"/>
      <c r="G56" s="398">
        <v>4</v>
      </c>
      <c r="H56" s="394"/>
      <c r="I56" s="385">
        <f t="shared" si="1"/>
        <v>165</v>
      </c>
      <c r="J56" s="395" t="s">
        <v>31</v>
      </c>
      <c r="K56" s="488"/>
      <c r="L56" s="488"/>
      <c r="M56" s="488"/>
      <c r="N56" s="488"/>
      <c r="O56" s="488"/>
      <c r="P56" s="488"/>
      <c r="Q56" s="489"/>
    </row>
    <row r="57" spans="1:17">
      <c r="A57" s="373" t="s">
        <v>32</v>
      </c>
      <c r="B57" s="393" t="s">
        <v>616</v>
      </c>
      <c r="C57" s="399">
        <v>0.5</v>
      </c>
      <c r="D57" s="399">
        <v>0.5</v>
      </c>
      <c r="E57" s="394"/>
      <c r="F57" s="394"/>
      <c r="G57" s="398">
        <v>5</v>
      </c>
      <c r="H57" s="394"/>
      <c r="I57" s="385">
        <f t="shared" si="1"/>
        <v>202.5</v>
      </c>
      <c r="J57" s="395" t="s">
        <v>31</v>
      </c>
      <c r="K57" s="488"/>
      <c r="L57" s="488"/>
      <c r="M57" s="488"/>
      <c r="N57" s="488"/>
      <c r="O57" s="488"/>
      <c r="P57" s="488"/>
      <c r="Q57" s="489"/>
    </row>
    <row r="58" spans="1:17">
      <c r="A58" s="373" t="s">
        <v>32</v>
      </c>
      <c r="B58" s="393" t="s">
        <v>617</v>
      </c>
      <c r="C58" s="399">
        <v>0.5</v>
      </c>
      <c r="D58" s="351"/>
      <c r="E58" s="394"/>
      <c r="F58" s="394"/>
      <c r="G58" s="399">
        <v>1.5</v>
      </c>
      <c r="H58" s="394"/>
      <c r="I58" s="385">
        <f t="shared" si="1"/>
        <v>65</v>
      </c>
      <c r="J58" s="395" t="s">
        <v>31</v>
      </c>
      <c r="K58" s="488"/>
      <c r="L58" s="488"/>
      <c r="M58" s="488"/>
      <c r="N58" s="488"/>
      <c r="O58" s="488"/>
      <c r="P58" s="488"/>
      <c r="Q58" s="489"/>
    </row>
    <row r="59" spans="1:17">
      <c r="A59" s="373" t="s">
        <v>32</v>
      </c>
      <c r="B59" s="393" t="s">
        <v>618</v>
      </c>
      <c r="C59" s="399">
        <v>0.5</v>
      </c>
      <c r="D59" s="351"/>
      <c r="E59" s="394"/>
      <c r="F59" s="399">
        <v>0.5</v>
      </c>
      <c r="G59" s="394"/>
      <c r="H59" s="394"/>
      <c r="I59" s="385">
        <f t="shared" si="1"/>
        <v>32.5</v>
      </c>
      <c r="J59" s="395" t="s">
        <v>31</v>
      </c>
      <c r="K59" s="488"/>
      <c r="L59" s="488"/>
      <c r="M59" s="488"/>
      <c r="N59" s="488"/>
      <c r="O59" s="488"/>
      <c r="P59" s="488"/>
      <c r="Q59" s="489"/>
    </row>
    <row r="60" spans="1:17">
      <c r="A60" s="373" t="s">
        <v>32</v>
      </c>
      <c r="B60" s="393" t="s">
        <v>619</v>
      </c>
      <c r="C60" s="399">
        <v>0.5</v>
      </c>
      <c r="D60" s="351"/>
      <c r="E60" s="394"/>
      <c r="F60" s="399">
        <v>1.5</v>
      </c>
      <c r="G60" s="394"/>
      <c r="H60" s="394"/>
      <c r="I60" s="385">
        <f t="shared" si="1"/>
        <v>72.5</v>
      </c>
      <c r="J60" s="395" t="s">
        <v>31</v>
      </c>
      <c r="K60" s="488"/>
      <c r="L60" s="488"/>
      <c r="M60" s="488"/>
      <c r="N60" s="488"/>
      <c r="O60" s="488"/>
      <c r="P60" s="488"/>
      <c r="Q60" s="489"/>
    </row>
    <row r="61" spans="1:17">
      <c r="A61" s="373" t="s">
        <v>32</v>
      </c>
      <c r="B61" s="393" t="s">
        <v>620</v>
      </c>
      <c r="C61" s="398">
        <v>0</v>
      </c>
      <c r="D61" s="351"/>
      <c r="E61" s="394"/>
      <c r="F61" s="398">
        <v>4</v>
      </c>
      <c r="G61" s="394"/>
      <c r="H61" s="394"/>
      <c r="I61" s="385">
        <f t="shared" si="1"/>
        <v>160</v>
      </c>
      <c r="J61" s="395" t="s">
        <v>31</v>
      </c>
      <c r="K61" s="491"/>
      <c r="L61" s="491"/>
      <c r="M61" s="491"/>
      <c r="N61" s="491"/>
      <c r="O61" s="491"/>
      <c r="P61" s="491"/>
      <c r="Q61" s="492"/>
    </row>
    <row r="62" spans="1:17">
      <c r="A62" s="392">
        <v>45993</v>
      </c>
      <c r="B62" s="393" t="s">
        <v>621</v>
      </c>
      <c r="C62" s="399">
        <v>6.5</v>
      </c>
      <c r="D62" s="398">
        <v>1</v>
      </c>
      <c r="E62" s="394"/>
      <c r="F62" s="398">
        <v>21</v>
      </c>
      <c r="G62" s="394"/>
      <c r="H62" s="394"/>
      <c r="I62" s="385">
        <f t="shared" si="1"/>
        <v>1032.5</v>
      </c>
      <c r="J62" s="395" t="s">
        <v>31</v>
      </c>
      <c r="K62" s="400">
        <v>4</v>
      </c>
      <c r="L62" s="400">
        <v>2</v>
      </c>
      <c r="M62" s="400">
        <v>4</v>
      </c>
      <c r="N62" s="400">
        <v>36</v>
      </c>
      <c r="O62" s="396"/>
      <c r="P62" s="396"/>
      <c r="Q62" s="397">
        <f t="shared" ref="Q62:Q67" si="5">K62*25+L62*30+M62*50+N62*40+O62*35+P62*25</f>
        <v>1800</v>
      </c>
    </row>
    <row r="63" spans="1:17">
      <c r="A63" s="383" t="s">
        <v>622</v>
      </c>
      <c r="B63" s="393" t="s">
        <v>623</v>
      </c>
      <c r="C63" s="398">
        <v>2</v>
      </c>
      <c r="D63" s="351"/>
      <c r="E63" s="394"/>
      <c r="F63" s="394"/>
      <c r="G63" s="394"/>
      <c r="H63" s="394"/>
      <c r="I63" s="385">
        <f t="shared" si="1"/>
        <v>50</v>
      </c>
      <c r="J63" s="409" t="s">
        <v>624</v>
      </c>
      <c r="K63" s="400">
        <v>4</v>
      </c>
      <c r="L63" s="396"/>
      <c r="M63" s="396"/>
      <c r="N63" s="400">
        <v>8</v>
      </c>
      <c r="O63" s="396"/>
      <c r="P63" s="396"/>
      <c r="Q63" s="397">
        <f t="shared" si="5"/>
        <v>420</v>
      </c>
    </row>
    <row r="64" spans="1:17">
      <c r="A64" s="383" t="s">
        <v>625</v>
      </c>
      <c r="B64" s="393" t="s">
        <v>626</v>
      </c>
      <c r="C64" s="399">
        <v>0.5</v>
      </c>
      <c r="D64" s="351"/>
      <c r="E64" s="394"/>
      <c r="F64" s="398">
        <v>11</v>
      </c>
      <c r="G64" s="394"/>
      <c r="H64" s="394"/>
      <c r="I64" s="385">
        <f t="shared" si="1"/>
        <v>452.5</v>
      </c>
      <c r="J64" s="395" t="s">
        <v>31</v>
      </c>
      <c r="K64" s="400">
        <v>1</v>
      </c>
      <c r="L64" s="396"/>
      <c r="M64" s="396"/>
      <c r="N64" s="400">
        <v>12</v>
      </c>
      <c r="O64" s="396"/>
      <c r="P64" s="396"/>
      <c r="Q64" s="397">
        <f t="shared" si="5"/>
        <v>505</v>
      </c>
    </row>
    <row r="65" spans="1:17">
      <c r="A65" s="383" t="s">
        <v>627</v>
      </c>
      <c r="B65" s="393" t="s">
        <v>628</v>
      </c>
      <c r="C65" s="398">
        <v>1</v>
      </c>
      <c r="D65" s="399">
        <v>0.5</v>
      </c>
      <c r="E65" s="399">
        <v>2</v>
      </c>
      <c r="F65" s="398">
        <v>7</v>
      </c>
      <c r="G65" s="399">
        <v>13.5</v>
      </c>
      <c r="H65" s="394"/>
      <c r="I65" s="385">
        <f t="shared" si="1"/>
        <v>892.5</v>
      </c>
      <c r="J65" s="395" t="s">
        <v>31</v>
      </c>
      <c r="K65" s="400">
        <v>1</v>
      </c>
      <c r="L65" s="396"/>
      <c r="M65" s="396"/>
      <c r="N65" s="400">
        <v>5</v>
      </c>
      <c r="O65" s="400">
        <v>5</v>
      </c>
      <c r="P65" s="396"/>
      <c r="Q65" s="397">
        <f t="shared" si="5"/>
        <v>400</v>
      </c>
    </row>
    <row r="66" spans="1:17">
      <c r="A66" s="383" t="s">
        <v>629</v>
      </c>
      <c r="B66" s="393" t="s">
        <v>630</v>
      </c>
      <c r="C66" s="398">
        <v>1</v>
      </c>
      <c r="D66" s="351"/>
      <c r="E66" s="394"/>
      <c r="F66" s="399">
        <v>6</v>
      </c>
      <c r="G66" s="394"/>
      <c r="H66" s="394"/>
      <c r="I66" s="385">
        <f t="shared" si="1"/>
        <v>265</v>
      </c>
      <c r="J66" s="395" t="s">
        <v>31</v>
      </c>
      <c r="K66" s="400">
        <v>2</v>
      </c>
      <c r="L66" s="396"/>
      <c r="M66" s="396"/>
      <c r="N66" s="400">
        <v>6</v>
      </c>
      <c r="O66" s="396"/>
      <c r="P66" s="396"/>
      <c r="Q66" s="397">
        <f t="shared" si="5"/>
        <v>290</v>
      </c>
    </row>
    <row r="67" spans="1:17">
      <c r="A67" s="383" t="s">
        <v>631</v>
      </c>
      <c r="B67" s="393" t="s">
        <v>632</v>
      </c>
      <c r="C67" s="513"/>
      <c r="D67" s="480"/>
      <c r="E67" s="480"/>
      <c r="F67" s="480"/>
      <c r="G67" s="480"/>
      <c r="H67" s="478"/>
      <c r="I67" s="385">
        <f t="shared" si="1"/>
        <v>0</v>
      </c>
      <c r="J67" s="395" t="s">
        <v>31</v>
      </c>
      <c r="K67" s="410"/>
      <c r="L67" s="410"/>
      <c r="M67" s="410"/>
      <c r="N67" s="400">
        <v>24</v>
      </c>
      <c r="O67" s="410"/>
      <c r="P67" s="410"/>
      <c r="Q67" s="397">
        <f t="shared" si="5"/>
        <v>960</v>
      </c>
    </row>
    <row r="68" spans="1:17">
      <c r="A68" s="373" t="s">
        <v>32</v>
      </c>
      <c r="B68" s="393" t="s">
        <v>633</v>
      </c>
      <c r="C68" s="411">
        <v>2</v>
      </c>
      <c r="D68" s="412"/>
      <c r="E68" s="411">
        <v>2</v>
      </c>
      <c r="F68" s="411">
        <v>22</v>
      </c>
      <c r="G68" s="394"/>
      <c r="H68" s="394"/>
      <c r="I68" s="385">
        <f t="shared" si="1"/>
        <v>1030</v>
      </c>
      <c r="J68" s="395" t="s">
        <v>31</v>
      </c>
      <c r="K68" s="412"/>
      <c r="L68" s="412"/>
      <c r="M68" s="412"/>
      <c r="N68" s="413"/>
      <c r="O68" s="412"/>
      <c r="P68" s="414" t="s">
        <v>548</v>
      </c>
      <c r="Q68" s="397">
        <f>SUM(Q15:Q66)</f>
        <v>17015</v>
      </c>
    </row>
    <row r="69" spans="1:17">
      <c r="A69" s="383" t="s">
        <v>634</v>
      </c>
      <c r="B69" s="393" t="s">
        <v>635</v>
      </c>
      <c r="C69" s="398">
        <v>1</v>
      </c>
      <c r="D69" s="351"/>
      <c r="E69" s="394"/>
      <c r="F69" s="399">
        <v>0.5</v>
      </c>
      <c r="G69" s="394"/>
      <c r="H69" s="394"/>
      <c r="I69" s="385">
        <f t="shared" si="1"/>
        <v>45</v>
      </c>
      <c r="J69" s="395" t="s">
        <v>31</v>
      </c>
      <c r="K69" s="413"/>
      <c r="L69" s="413"/>
      <c r="M69" s="413"/>
      <c r="N69" s="413"/>
      <c r="O69" s="413"/>
      <c r="P69" s="413"/>
      <c r="Q69" s="413"/>
    </row>
    <row r="70" spans="1:17">
      <c r="A70" s="383" t="s">
        <v>636</v>
      </c>
      <c r="B70" s="393" t="s">
        <v>637</v>
      </c>
      <c r="C70" s="399">
        <v>0.5</v>
      </c>
      <c r="D70" s="351"/>
      <c r="E70" s="394"/>
      <c r="F70" s="394"/>
      <c r="G70" s="398">
        <v>5</v>
      </c>
      <c r="H70" s="394"/>
      <c r="I70" s="385">
        <f t="shared" si="1"/>
        <v>187.5</v>
      </c>
      <c r="J70" s="395" t="s">
        <v>31</v>
      </c>
      <c r="K70" s="413"/>
      <c r="L70" s="413"/>
      <c r="M70" s="413"/>
      <c r="N70" s="413"/>
      <c r="O70" s="413"/>
      <c r="P70" s="413"/>
      <c r="Q70" s="413"/>
    </row>
    <row r="71" spans="1:17">
      <c r="A71" s="383" t="s">
        <v>638</v>
      </c>
      <c r="B71" s="393" t="s">
        <v>639</v>
      </c>
      <c r="C71" s="398">
        <v>1</v>
      </c>
      <c r="D71" s="351"/>
      <c r="E71" s="399">
        <v>1</v>
      </c>
      <c r="F71" s="399">
        <v>13.5</v>
      </c>
      <c r="G71" s="394"/>
      <c r="H71" s="394"/>
      <c r="I71" s="385">
        <f t="shared" si="1"/>
        <v>615</v>
      </c>
      <c r="J71" s="395" t="s">
        <v>31</v>
      </c>
      <c r="K71" s="413"/>
      <c r="L71" s="413"/>
      <c r="M71" s="413"/>
      <c r="N71" s="413"/>
      <c r="O71" s="413"/>
      <c r="P71" s="413"/>
      <c r="Q71" s="413"/>
    </row>
    <row r="72" spans="1:17">
      <c r="A72" s="383" t="s">
        <v>640</v>
      </c>
      <c r="B72" s="393" t="s">
        <v>641</v>
      </c>
      <c r="C72" s="399">
        <v>2.5</v>
      </c>
      <c r="D72" s="399">
        <v>0.5</v>
      </c>
      <c r="E72" s="399">
        <v>0.5</v>
      </c>
      <c r="F72" s="399">
        <v>20</v>
      </c>
      <c r="G72" s="394"/>
      <c r="H72" s="394"/>
      <c r="I72" s="385">
        <f t="shared" si="1"/>
        <v>902.5</v>
      </c>
      <c r="J72" s="395" t="s">
        <v>31</v>
      </c>
      <c r="K72" s="413"/>
      <c r="L72" s="413"/>
      <c r="M72" s="413"/>
      <c r="N72" s="413"/>
      <c r="O72" s="413"/>
      <c r="P72" s="413"/>
      <c r="Q72" s="413"/>
    </row>
    <row r="73" spans="1:17">
      <c r="A73" s="383" t="s">
        <v>642</v>
      </c>
      <c r="B73" s="393" t="s">
        <v>35</v>
      </c>
      <c r="C73" s="510"/>
      <c r="D73" s="480"/>
      <c r="E73" s="480"/>
      <c r="F73" s="480"/>
      <c r="G73" s="480"/>
      <c r="H73" s="478"/>
      <c r="I73" s="385">
        <f t="shared" si="1"/>
        <v>0</v>
      </c>
      <c r="J73" s="395" t="s">
        <v>31</v>
      </c>
      <c r="K73" s="413"/>
      <c r="L73" s="413"/>
      <c r="M73" s="413"/>
      <c r="N73" s="413"/>
      <c r="O73" s="413"/>
      <c r="P73" s="413"/>
      <c r="Q73" s="413"/>
    </row>
    <row r="74" spans="1:17">
      <c r="A74" s="373" t="s">
        <v>32</v>
      </c>
      <c r="B74" s="393" t="s">
        <v>643</v>
      </c>
      <c r="C74" s="398">
        <v>4</v>
      </c>
      <c r="D74" s="351"/>
      <c r="E74" s="394"/>
      <c r="F74" s="394"/>
      <c r="G74" s="394"/>
      <c r="H74" s="394"/>
      <c r="I74" s="385">
        <f t="shared" si="1"/>
        <v>100</v>
      </c>
      <c r="J74" s="395" t="s">
        <v>31</v>
      </c>
      <c r="K74" s="413"/>
      <c r="L74" s="413"/>
      <c r="M74" s="413"/>
      <c r="N74" s="413"/>
      <c r="O74" s="413"/>
      <c r="P74" s="413"/>
      <c r="Q74" s="413"/>
    </row>
    <row r="75" spans="1:17">
      <c r="A75" s="373" t="s">
        <v>32</v>
      </c>
      <c r="B75" s="393" t="s">
        <v>644</v>
      </c>
      <c r="C75" s="398">
        <f>25+7</f>
        <v>32</v>
      </c>
      <c r="D75" s="351"/>
      <c r="E75" s="394"/>
      <c r="F75" s="394"/>
      <c r="G75" s="394"/>
      <c r="H75" s="394"/>
      <c r="I75" s="385">
        <f t="shared" si="1"/>
        <v>800</v>
      </c>
      <c r="J75" s="395" t="s">
        <v>31</v>
      </c>
      <c r="K75" s="413"/>
      <c r="L75" s="413"/>
      <c r="M75" s="413"/>
      <c r="N75" s="413"/>
      <c r="O75" s="413"/>
      <c r="P75" s="413"/>
      <c r="Q75" s="413"/>
    </row>
    <row r="76" spans="1:17">
      <c r="A76" s="514"/>
      <c r="B76" s="480"/>
      <c r="C76" s="480"/>
      <c r="D76" s="480"/>
      <c r="E76" s="480"/>
      <c r="F76" s="480"/>
      <c r="G76" s="478"/>
      <c r="H76" s="416" t="s">
        <v>37</v>
      </c>
      <c r="I76" s="385">
        <f>SUM(I15:I75)</f>
        <v>24360</v>
      </c>
      <c r="J76" s="383"/>
      <c r="K76" s="413"/>
      <c r="L76" s="413"/>
      <c r="M76" s="413"/>
      <c r="N76" s="413"/>
      <c r="O76" s="413"/>
      <c r="P76" s="413"/>
      <c r="Q76" s="413"/>
    </row>
    <row r="77" spans="1:17">
      <c r="A77" s="415"/>
      <c r="B77" s="515" t="s">
        <v>343</v>
      </c>
      <c r="C77" s="480"/>
      <c r="D77" s="480"/>
      <c r="E77" s="480"/>
      <c r="F77" s="480"/>
      <c r="G77" s="480"/>
      <c r="H77" s="480"/>
      <c r="I77" s="480"/>
      <c r="J77" s="413"/>
      <c r="K77" s="413"/>
      <c r="L77" s="413"/>
      <c r="M77" s="413"/>
      <c r="N77" s="413"/>
      <c r="O77" s="413"/>
      <c r="P77" s="413"/>
      <c r="Q77" s="413"/>
    </row>
    <row r="78" spans="1:17">
      <c r="A78" s="383" t="s">
        <v>631</v>
      </c>
      <c r="B78" s="393" t="s">
        <v>632</v>
      </c>
      <c r="C78" s="394"/>
      <c r="D78" s="351"/>
      <c r="E78" s="394"/>
      <c r="F78" s="394"/>
      <c r="G78" s="394"/>
      <c r="H78" s="394"/>
      <c r="I78" s="385">
        <f t="shared" ref="I78:I86" si="6">C78*25+D78*30+E78*50+F78*40+G78*35+H78*25</f>
        <v>0</v>
      </c>
      <c r="J78" s="395" t="s">
        <v>31</v>
      </c>
      <c r="K78" s="412"/>
      <c r="L78" s="412"/>
      <c r="M78" s="412"/>
      <c r="N78" s="413"/>
      <c r="O78" s="412"/>
      <c r="P78" s="412"/>
      <c r="Q78" s="417"/>
    </row>
    <row r="79" spans="1:17">
      <c r="A79" s="373" t="s">
        <v>32</v>
      </c>
      <c r="B79" s="393" t="s">
        <v>645</v>
      </c>
      <c r="C79" s="394"/>
      <c r="D79" s="351"/>
      <c r="E79" s="399">
        <v>1</v>
      </c>
      <c r="F79" s="399">
        <v>10</v>
      </c>
      <c r="G79" s="394"/>
      <c r="H79" s="394"/>
      <c r="I79" s="385">
        <f t="shared" si="6"/>
        <v>450</v>
      </c>
      <c r="J79" s="395" t="s">
        <v>31</v>
      </c>
      <c r="K79" s="412"/>
      <c r="L79" s="412"/>
      <c r="M79" s="412"/>
      <c r="N79" s="413"/>
      <c r="O79" s="412"/>
      <c r="P79" s="412"/>
      <c r="Q79" s="417"/>
    </row>
    <row r="80" spans="1:17">
      <c r="A80" s="373" t="s">
        <v>32</v>
      </c>
      <c r="B80" s="393" t="s">
        <v>646</v>
      </c>
      <c r="C80" s="394"/>
      <c r="D80" s="351"/>
      <c r="E80" s="399">
        <v>1</v>
      </c>
      <c r="F80" s="399">
        <v>16</v>
      </c>
      <c r="G80" s="394"/>
      <c r="H80" s="394"/>
      <c r="I80" s="385">
        <f t="shared" si="6"/>
        <v>690</v>
      </c>
      <c r="J80" s="395" t="s">
        <v>31</v>
      </c>
      <c r="K80" s="412"/>
      <c r="L80" s="412"/>
      <c r="M80" s="412"/>
      <c r="N80" s="413"/>
      <c r="O80" s="412"/>
      <c r="P80" s="412"/>
      <c r="Q80" s="417"/>
    </row>
    <row r="81" spans="1:17">
      <c r="A81" s="383" t="s">
        <v>647</v>
      </c>
      <c r="B81" s="418" t="s">
        <v>648</v>
      </c>
      <c r="C81" s="394"/>
      <c r="D81" s="351"/>
      <c r="E81" s="394"/>
      <c r="F81" s="398">
        <v>4</v>
      </c>
      <c r="G81" s="394"/>
      <c r="H81" s="394"/>
      <c r="I81" s="385">
        <f t="shared" si="6"/>
        <v>160</v>
      </c>
      <c r="J81" s="395" t="s">
        <v>31</v>
      </c>
      <c r="K81" s="413"/>
      <c r="L81" s="413"/>
      <c r="M81" s="413"/>
      <c r="N81" s="413"/>
      <c r="O81" s="413"/>
      <c r="P81" s="413"/>
      <c r="Q81" s="413"/>
    </row>
    <row r="82" spans="1:17">
      <c r="A82" s="383" t="s">
        <v>649</v>
      </c>
      <c r="B82" s="418" t="s">
        <v>650</v>
      </c>
      <c r="C82" s="394"/>
      <c r="D82" s="351"/>
      <c r="E82" s="394"/>
      <c r="F82" s="394"/>
      <c r="G82" s="399">
        <v>1.5</v>
      </c>
      <c r="H82" s="394"/>
      <c r="I82" s="385">
        <f t="shared" si="6"/>
        <v>52.5</v>
      </c>
      <c r="J82" s="395" t="s">
        <v>31</v>
      </c>
      <c r="K82" s="413"/>
      <c r="L82" s="413"/>
      <c r="M82" s="413"/>
      <c r="N82" s="413"/>
      <c r="O82" s="413"/>
      <c r="P82" s="413"/>
      <c r="Q82" s="413"/>
    </row>
    <row r="83" spans="1:17">
      <c r="A83" s="383" t="s">
        <v>651</v>
      </c>
      <c r="B83" s="418" t="s">
        <v>652</v>
      </c>
      <c r="C83" s="394"/>
      <c r="D83" s="351"/>
      <c r="E83" s="394"/>
      <c r="F83" s="398">
        <v>2</v>
      </c>
      <c r="G83" s="394"/>
      <c r="H83" s="394"/>
      <c r="I83" s="385">
        <f t="shared" si="6"/>
        <v>80</v>
      </c>
      <c r="J83" s="395" t="s">
        <v>31</v>
      </c>
      <c r="K83" s="413"/>
      <c r="L83" s="413"/>
      <c r="M83" s="413"/>
      <c r="N83" s="413"/>
      <c r="O83" s="413"/>
      <c r="P83" s="413"/>
      <c r="Q83" s="413"/>
    </row>
    <row r="84" spans="1:17">
      <c r="A84" s="383" t="s">
        <v>653</v>
      </c>
      <c r="B84" s="418" t="s">
        <v>654</v>
      </c>
      <c r="C84" s="394"/>
      <c r="D84" s="351"/>
      <c r="E84" s="394"/>
      <c r="F84" s="398">
        <v>1</v>
      </c>
      <c r="G84" s="394"/>
      <c r="H84" s="394"/>
      <c r="I84" s="385">
        <f t="shared" si="6"/>
        <v>40</v>
      </c>
      <c r="J84" s="395" t="s">
        <v>31</v>
      </c>
      <c r="K84" s="413"/>
      <c r="L84" s="413"/>
      <c r="M84" s="413"/>
      <c r="N84" s="413"/>
      <c r="O84" s="413"/>
      <c r="P84" s="413"/>
      <c r="Q84" s="413"/>
    </row>
    <row r="85" spans="1:17">
      <c r="A85" s="383" t="s">
        <v>655</v>
      </c>
      <c r="B85" s="418" t="s">
        <v>656</v>
      </c>
      <c r="C85" s="398">
        <v>1</v>
      </c>
      <c r="D85" s="351"/>
      <c r="E85" s="394"/>
      <c r="F85" s="398">
        <v>2</v>
      </c>
      <c r="G85" s="394"/>
      <c r="H85" s="394"/>
      <c r="I85" s="385">
        <f t="shared" si="6"/>
        <v>105</v>
      </c>
      <c r="J85" s="395" t="s">
        <v>31</v>
      </c>
      <c r="K85" s="413"/>
      <c r="L85" s="413"/>
      <c r="M85" s="413"/>
      <c r="N85" s="413"/>
      <c r="O85" s="413"/>
      <c r="P85" s="413"/>
      <c r="Q85" s="413"/>
    </row>
    <row r="86" spans="1:17">
      <c r="A86" s="383" t="s">
        <v>657</v>
      </c>
      <c r="B86" s="418" t="s">
        <v>658</v>
      </c>
      <c r="C86" s="398">
        <v>1</v>
      </c>
      <c r="D86" s="351"/>
      <c r="E86" s="394"/>
      <c r="F86" s="399">
        <v>2.5</v>
      </c>
      <c r="G86" s="394"/>
      <c r="H86" s="394"/>
      <c r="I86" s="385">
        <f t="shared" si="6"/>
        <v>125</v>
      </c>
      <c r="J86" s="395" t="s">
        <v>31</v>
      </c>
      <c r="K86" s="413"/>
      <c r="L86" s="413"/>
      <c r="M86" s="413"/>
      <c r="N86" s="413"/>
      <c r="O86" s="413"/>
      <c r="P86" s="413"/>
      <c r="Q86" s="413"/>
    </row>
    <row r="87" spans="1:17">
      <c r="A87" s="383"/>
      <c r="B87" s="419" t="s">
        <v>659</v>
      </c>
      <c r="C87" s="420"/>
      <c r="D87" s="421"/>
      <c r="E87" s="420"/>
      <c r="F87" s="420"/>
      <c r="G87" s="420"/>
      <c r="H87" s="420"/>
      <c r="I87" s="422"/>
      <c r="J87" s="413"/>
      <c r="K87" s="413"/>
      <c r="L87" s="413"/>
      <c r="M87" s="413"/>
      <c r="N87" s="413"/>
      <c r="O87" s="413"/>
      <c r="P87" s="413"/>
      <c r="Q87" s="413"/>
    </row>
    <row r="88" spans="1:17">
      <c r="A88" s="383" t="s">
        <v>660</v>
      </c>
      <c r="B88" s="418" t="s">
        <v>661</v>
      </c>
      <c r="C88" s="399">
        <v>0.5</v>
      </c>
      <c r="D88" s="351"/>
      <c r="E88" s="394"/>
      <c r="F88" s="398">
        <v>1</v>
      </c>
      <c r="G88" s="394"/>
      <c r="H88" s="394"/>
      <c r="I88" s="385">
        <f t="shared" ref="I88:I107" si="7">C88*25+D88*30+E88*50+F88*40+G88*35+H88*25</f>
        <v>52.5</v>
      </c>
      <c r="J88" s="395" t="s">
        <v>31</v>
      </c>
      <c r="K88" s="413"/>
      <c r="L88" s="413"/>
      <c r="M88" s="413"/>
      <c r="N88" s="413"/>
      <c r="O88" s="413"/>
      <c r="P88" s="413"/>
      <c r="Q88" s="413"/>
    </row>
    <row r="89" spans="1:17">
      <c r="A89" s="383" t="s">
        <v>662</v>
      </c>
      <c r="B89" s="418" t="s">
        <v>663</v>
      </c>
      <c r="C89" s="398">
        <v>1</v>
      </c>
      <c r="D89" s="351"/>
      <c r="E89" s="399">
        <v>0.5</v>
      </c>
      <c r="F89" s="399">
        <v>1.5</v>
      </c>
      <c r="G89" s="394"/>
      <c r="H89" s="394"/>
      <c r="I89" s="385">
        <f t="shared" si="7"/>
        <v>110</v>
      </c>
      <c r="J89" s="395" t="s">
        <v>31</v>
      </c>
      <c r="K89" s="413"/>
      <c r="L89" s="413"/>
      <c r="M89" s="413"/>
      <c r="N89" s="413"/>
      <c r="O89" s="413"/>
      <c r="P89" s="413"/>
      <c r="Q89" s="413"/>
    </row>
    <row r="90" spans="1:17">
      <c r="A90" s="383" t="s">
        <v>664</v>
      </c>
      <c r="B90" s="418" t="s">
        <v>665</v>
      </c>
      <c r="C90" s="399">
        <v>0.5</v>
      </c>
      <c r="D90" s="351"/>
      <c r="E90" s="394"/>
      <c r="F90" s="399">
        <v>0.5</v>
      </c>
      <c r="G90" s="394"/>
      <c r="H90" s="394"/>
      <c r="I90" s="385">
        <f t="shared" si="7"/>
        <v>32.5</v>
      </c>
      <c r="J90" s="395" t="s">
        <v>31</v>
      </c>
      <c r="K90" s="413"/>
      <c r="L90" s="413"/>
      <c r="M90" s="413"/>
      <c r="N90" s="413"/>
      <c r="O90" s="413"/>
      <c r="P90" s="413"/>
      <c r="Q90" s="413"/>
    </row>
    <row r="91" spans="1:17">
      <c r="A91" s="383" t="s">
        <v>666</v>
      </c>
      <c r="B91" s="418" t="s">
        <v>667</v>
      </c>
      <c r="C91" s="398">
        <v>3</v>
      </c>
      <c r="D91" s="399">
        <v>0.5</v>
      </c>
      <c r="E91" s="399">
        <v>0.5</v>
      </c>
      <c r="F91" s="398">
        <v>4</v>
      </c>
      <c r="G91" s="394"/>
      <c r="H91" s="394"/>
      <c r="I91" s="385">
        <f t="shared" si="7"/>
        <v>275</v>
      </c>
      <c r="J91" s="395" t="s">
        <v>31</v>
      </c>
      <c r="K91" s="413"/>
      <c r="L91" s="413"/>
      <c r="M91" s="413"/>
      <c r="N91" s="413"/>
      <c r="O91" s="413"/>
      <c r="P91" s="413"/>
      <c r="Q91" s="413"/>
    </row>
    <row r="92" spans="1:17">
      <c r="A92" s="383" t="s">
        <v>668</v>
      </c>
      <c r="B92" s="418" t="s">
        <v>669</v>
      </c>
      <c r="C92" s="398">
        <v>2</v>
      </c>
      <c r="D92" s="351"/>
      <c r="E92" s="394"/>
      <c r="F92" s="398">
        <v>3</v>
      </c>
      <c r="G92" s="394"/>
      <c r="H92" s="394"/>
      <c r="I92" s="385">
        <f t="shared" si="7"/>
        <v>170</v>
      </c>
      <c r="J92" s="395" t="s">
        <v>31</v>
      </c>
      <c r="K92" s="413"/>
      <c r="L92" s="413"/>
      <c r="M92" s="413"/>
      <c r="N92" s="413"/>
      <c r="O92" s="413"/>
      <c r="P92" s="413"/>
      <c r="Q92" s="413"/>
    </row>
    <row r="93" spans="1:17">
      <c r="A93" s="383" t="s">
        <v>670</v>
      </c>
      <c r="B93" s="418" t="s">
        <v>671</v>
      </c>
      <c r="C93" s="399">
        <v>0.5</v>
      </c>
      <c r="D93" s="351"/>
      <c r="E93" s="399">
        <v>0.5</v>
      </c>
      <c r="F93" s="398">
        <v>2</v>
      </c>
      <c r="G93" s="394"/>
      <c r="H93" s="394"/>
      <c r="I93" s="385">
        <f t="shared" si="7"/>
        <v>117.5</v>
      </c>
      <c r="J93" s="395" t="s">
        <v>31</v>
      </c>
      <c r="K93" s="413"/>
      <c r="L93" s="413"/>
      <c r="M93" s="413"/>
      <c r="N93" s="413"/>
      <c r="O93" s="413"/>
      <c r="P93" s="413"/>
      <c r="Q93" s="413"/>
    </row>
    <row r="94" spans="1:17">
      <c r="A94" s="383" t="s">
        <v>672</v>
      </c>
      <c r="B94" s="418" t="s">
        <v>673</v>
      </c>
      <c r="C94" s="399">
        <v>3.5</v>
      </c>
      <c r="D94" s="351"/>
      <c r="E94" s="394"/>
      <c r="F94" s="399">
        <v>8.5</v>
      </c>
      <c r="G94" s="394"/>
      <c r="H94" s="394"/>
      <c r="I94" s="385">
        <f t="shared" si="7"/>
        <v>427.5</v>
      </c>
      <c r="J94" s="395" t="s">
        <v>31</v>
      </c>
      <c r="K94" s="413"/>
      <c r="L94" s="413"/>
      <c r="M94" s="413"/>
      <c r="N94" s="413"/>
      <c r="O94" s="413"/>
      <c r="P94" s="413"/>
      <c r="Q94" s="413"/>
    </row>
    <row r="95" spans="1:17">
      <c r="A95" s="383" t="s">
        <v>674</v>
      </c>
      <c r="B95" s="418" t="s">
        <v>675</v>
      </c>
      <c r="C95" s="398">
        <v>1</v>
      </c>
      <c r="D95" s="351"/>
      <c r="E95" s="399">
        <v>0.5</v>
      </c>
      <c r="F95" s="398">
        <v>2</v>
      </c>
      <c r="G95" s="394"/>
      <c r="H95" s="394"/>
      <c r="I95" s="385">
        <f t="shared" si="7"/>
        <v>130</v>
      </c>
      <c r="J95" s="395" t="s">
        <v>31</v>
      </c>
      <c r="K95" s="413"/>
      <c r="L95" s="413"/>
      <c r="M95" s="413"/>
      <c r="N95" s="413"/>
      <c r="O95" s="413"/>
      <c r="P95" s="413"/>
      <c r="Q95" s="413"/>
    </row>
    <row r="96" spans="1:17">
      <c r="A96" s="383" t="s">
        <v>676</v>
      </c>
      <c r="B96" s="418" t="s">
        <v>677</v>
      </c>
      <c r="C96" s="398">
        <v>1</v>
      </c>
      <c r="D96" s="351"/>
      <c r="E96" s="399">
        <v>0.5</v>
      </c>
      <c r="F96" s="398">
        <v>3</v>
      </c>
      <c r="G96" s="394"/>
      <c r="H96" s="394"/>
      <c r="I96" s="385">
        <f t="shared" si="7"/>
        <v>170</v>
      </c>
      <c r="J96" s="395" t="s">
        <v>31</v>
      </c>
      <c r="K96" s="413"/>
      <c r="L96" s="413"/>
      <c r="M96" s="413"/>
      <c r="N96" s="413"/>
      <c r="O96" s="413"/>
      <c r="P96" s="413"/>
      <c r="Q96" s="413"/>
    </row>
    <row r="97" spans="1:17">
      <c r="A97" s="383" t="s">
        <v>678</v>
      </c>
      <c r="B97" s="418" t="s">
        <v>679</v>
      </c>
      <c r="C97" s="399">
        <v>1.5</v>
      </c>
      <c r="D97" s="351"/>
      <c r="E97" s="399">
        <v>0.5</v>
      </c>
      <c r="F97" s="399">
        <v>5.5</v>
      </c>
      <c r="G97" s="394"/>
      <c r="H97" s="394"/>
      <c r="I97" s="385">
        <f t="shared" si="7"/>
        <v>282.5</v>
      </c>
      <c r="J97" s="395" t="s">
        <v>31</v>
      </c>
      <c r="K97" s="413"/>
      <c r="L97" s="413"/>
      <c r="M97" s="413"/>
      <c r="N97" s="413"/>
      <c r="O97" s="413"/>
      <c r="P97" s="413"/>
      <c r="Q97" s="413"/>
    </row>
    <row r="98" spans="1:17">
      <c r="A98" s="383" t="s">
        <v>680</v>
      </c>
      <c r="B98" s="418" t="s">
        <v>681</v>
      </c>
      <c r="C98" s="399">
        <v>2.5</v>
      </c>
      <c r="D98" s="351"/>
      <c r="E98" s="399">
        <v>1</v>
      </c>
      <c r="F98" s="399">
        <v>10.5</v>
      </c>
      <c r="G98" s="394"/>
      <c r="H98" s="394"/>
      <c r="I98" s="385">
        <f t="shared" si="7"/>
        <v>532.5</v>
      </c>
      <c r="J98" s="395" t="s">
        <v>31</v>
      </c>
      <c r="K98" s="413"/>
      <c r="L98" s="413"/>
      <c r="M98" s="413"/>
      <c r="N98" s="413"/>
      <c r="O98" s="413"/>
      <c r="P98" s="413"/>
      <c r="Q98" s="413"/>
    </row>
    <row r="99" spans="1:17">
      <c r="A99" s="383" t="s">
        <v>682</v>
      </c>
      <c r="B99" s="418" t="s">
        <v>683</v>
      </c>
      <c r="C99" s="394"/>
      <c r="D99" s="351"/>
      <c r="E99" s="394"/>
      <c r="F99" s="398">
        <v>2</v>
      </c>
      <c r="G99" s="394"/>
      <c r="H99" s="394"/>
      <c r="I99" s="385">
        <f t="shared" si="7"/>
        <v>80</v>
      </c>
      <c r="J99" s="395" t="s">
        <v>31</v>
      </c>
      <c r="K99" s="413"/>
      <c r="L99" s="413"/>
      <c r="M99" s="413"/>
      <c r="N99" s="413"/>
      <c r="O99" s="413"/>
      <c r="P99" s="413"/>
      <c r="Q99" s="413"/>
    </row>
    <row r="100" spans="1:17">
      <c r="A100" s="383" t="s">
        <v>684</v>
      </c>
      <c r="B100" s="418" t="s">
        <v>685</v>
      </c>
      <c r="C100" s="398">
        <v>1</v>
      </c>
      <c r="D100" s="351"/>
      <c r="E100" s="394"/>
      <c r="F100" s="394"/>
      <c r="G100" s="394"/>
      <c r="H100" s="394"/>
      <c r="I100" s="385">
        <f t="shared" si="7"/>
        <v>25</v>
      </c>
      <c r="J100" s="395" t="s">
        <v>31</v>
      </c>
      <c r="K100" s="413"/>
      <c r="L100" s="413"/>
      <c r="M100" s="413"/>
      <c r="N100" s="413"/>
      <c r="O100" s="413"/>
      <c r="P100" s="413"/>
      <c r="Q100" s="413"/>
    </row>
    <row r="101" spans="1:17">
      <c r="A101" s="383" t="s">
        <v>686</v>
      </c>
      <c r="B101" s="393" t="s">
        <v>687</v>
      </c>
      <c r="C101" s="398">
        <v>2</v>
      </c>
      <c r="D101" s="351"/>
      <c r="E101" s="394"/>
      <c r="F101" s="394"/>
      <c r="G101" s="394"/>
      <c r="H101" s="394"/>
      <c r="I101" s="385">
        <f t="shared" si="7"/>
        <v>50</v>
      </c>
      <c r="J101" s="395" t="s">
        <v>31</v>
      </c>
      <c r="K101" s="413"/>
      <c r="L101" s="413"/>
      <c r="M101" s="413"/>
      <c r="N101" s="413"/>
      <c r="O101" s="413"/>
      <c r="P101" s="413"/>
      <c r="Q101" s="413"/>
    </row>
    <row r="102" spans="1:17">
      <c r="A102" s="383" t="s">
        <v>688</v>
      </c>
      <c r="B102" s="393" t="s">
        <v>689</v>
      </c>
      <c r="C102" s="398">
        <v>3</v>
      </c>
      <c r="D102" s="351"/>
      <c r="E102" s="394"/>
      <c r="F102" s="394"/>
      <c r="G102" s="394"/>
      <c r="H102" s="394"/>
      <c r="I102" s="385">
        <f t="shared" si="7"/>
        <v>75</v>
      </c>
      <c r="J102" s="395" t="s">
        <v>31</v>
      </c>
      <c r="K102" s="413"/>
      <c r="L102" s="413"/>
      <c r="M102" s="413"/>
      <c r="N102" s="413"/>
      <c r="O102" s="413"/>
      <c r="P102" s="413"/>
      <c r="Q102" s="413"/>
    </row>
    <row r="103" spans="1:17">
      <c r="A103" s="383" t="s">
        <v>690</v>
      </c>
      <c r="B103" s="393" t="s">
        <v>691</v>
      </c>
      <c r="C103" s="398">
        <v>1</v>
      </c>
      <c r="D103" s="351"/>
      <c r="E103" s="394"/>
      <c r="F103" s="394"/>
      <c r="G103" s="394"/>
      <c r="H103" s="394"/>
      <c r="I103" s="385">
        <f t="shared" si="7"/>
        <v>25</v>
      </c>
      <c r="J103" s="395" t="s">
        <v>31</v>
      </c>
      <c r="K103" s="413"/>
      <c r="L103" s="413"/>
      <c r="M103" s="413"/>
      <c r="N103" s="413"/>
      <c r="O103" s="413"/>
      <c r="P103" s="413"/>
      <c r="Q103" s="413"/>
    </row>
    <row r="104" spans="1:17">
      <c r="A104" s="383" t="s">
        <v>692</v>
      </c>
      <c r="B104" s="393" t="s">
        <v>693</v>
      </c>
      <c r="C104" s="398">
        <v>2</v>
      </c>
      <c r="D104" s="351"/>
      <c r="E104" s="394"/>
      <c r="F104" s="394"/>
      <c r="G104" s="394"/>
      <c r="H104" s="394"/>
      <c r="I104" s="385">
        <f t="shared" si="7"/>
        <v>50</v>
      </c>
      <c r="J104" s="395" t="s">
        <v>31</v>
      </c>
      <c r="K104" s="413"/>
      <c r="L104" s="413"/>
      <c r="M104" s="413"/>
      <c r="N104" s="413"/>
      <c r="O104" s="413"/>
      <c r="P104" s="413"/>
      <c r="Q104" s="413"/>
    </row>
    <row r="105" spans="1:17">
      <c r="A105" s="383" t="s">
        <v>694</v>
      </c>
      <c r="B105" s="393" t="s">
        <v>695</v>
      </c>
      <c r="C105" s="398">
        <v>3</v>
      </c>
      <c r="D105" s="351"/>
      <c r="E105" s="394"/>
      <c r="F105" s="398">
        <v>1</v>
      </c>
      <c r="G105" s="394"/>
      <c r="H105" s="394"/>
      <c r="I105" s="385">
        <f t="shared" si="7"/>
        <v>115</v>
      </c>
      <c r="J105" s="395" t="s">
        <v>31</v>
      </c>
      <c r="K105" s="413"/>
      <c r="L105" s="413"/>
      <c r="M105" s="413"/>
      <c r="N105" s="413"/>
      <c r="O105" s="413"/>
      <c r="P105" s="413"/>
      <c r="Q105" s="413"/>
    </row>
    <row r="106" spans="1:17">
      <c r="A106" s="383" t="s">
        <v>696</v>
      </c>
      <c r="B106" s="393" t="s">
        <v>697</v>
      </c>
      <c r="C106" s="399">
        <v>3.5</v>
      </c>
      <c r="D106" s="351"/>
      <c r="E106" s="394"/>
      <c r="F106" s="394"/>
      <c r="G106" s="394"/>
      <c r="H106" s="394"/>
      <c r="I106" s="385">
        <f t="shared" si="7"/>
        <v>87.5</v>
      </c>
      <c r="J106" s="395" t="s">
        <v>31</v>
      </c>
      <c r="K106" s="413"/>
      <c r="L106" s="413"/>
      <c r="M106" s="413"/>
      <c r="N106" s="413"/>
      <c r="O106" s="413"/>
      <c r="P106" s="413"/>
      <c r="Q106" s="413"/>
    </row>
    <row r="107" spans="1:17">
      <c r="A107" s="383" t="s">
        <v>698</v>
      </c>
      <c r="B107" s="393" t="s">
        <v>699</v>
      </c>
      <c r="C107" s="398">
        <v>1</v>
      </c>
      <c r="D107" s="351"/>
      <c r="E107" s="394"/>
      <c r="F107" s="398">
        <v>1</v>
      </c>
      <c r="G107" s="394"/>
      <c r="H107" s="394"/>
      <c r="I107" s="385">
        <f t="shared" si="7"/>
        <v>65</v>
      </c>
      <c r="J107" s="395" t="s">
        <v>31</v>
      </c>
      <c r="K107" s="413"/>
      <c r="L107" s="413"/>
      <c r="M107" s="413"/>
      <c r="N107" s="413"/>
      <c r="O107" s="413"/>
      <c r="P107" s="413"/>
      <c r="Q107" s="413"/>
    </row>
    <row r="108" spans="1:17">
      <c r="A108" s="413"/>
      <c r="B108" s="406"/>
      <c r="C108" s="413"/>
      <c r="D108" s="412"/>
      <c r="E108" s="413"/>
      <c r="F108" s="413"/>
      <c r="G108" s="413"/>
      <c r="H108" s="423" t="s">
        <v>37</v>
      </c>
      <c r="I108" s="385">
        <f>SUM(I78:I107)</f>
        <v>4575</v>
      </c>
      <c r="J108" s="413"/>
      <c r="K108" s="413"/>
      <c r="L108" s="413"/>
      <c r="M108" s="413"/>
      <c r="N108" s="413"/>
      <c r="O108" s="413"/>
      <c r="P108" s="413"/>
      <c r="Q108" s="413"/>
    </row>
    <row r="109" spans="1:17">
      <c r="A109" s="413"/>
      <c r="B109" s="406"/>
      <c r="C109" s="413"/>
      <c r="D109" s="412"/>
      <c r="E109" s="413"/>
      <c r="F109" s="413"/>
      <c r="G109" s="413"/>
      <c r="H109" s="416" t="s">
        <v>38</v>
      </c>
      <c r="I109" s="385">
        <f>I76+I108</f>
        <v>28935</v>
      </c>
      <c r="J109" s="413"/>
      <c r="K109" s="413"/>
      <c r="L109" s="413"/>
      <c r="M109" s="413"/>
      <c r="N109" s="413"/>
      <c r="O109" s="413"/>
      <c r="P109" s="413"/>
      <c r="Q109" s="413"/>
    </row>
    <row r="110" spans="1:17">
      <c r="B110" s="114"/>
    </row>
    <row r="111" spans="1:17">
      <c r="B111" s="114"/>
    </row>
    <row r="112" spans="1:17">
      <c r="B112" s="114"/>
    </row>
    <row r="113" spans="2:2">
      <c r="B113" s="114"/>
    </row>
    <row r="114" spans="2:2">
      <c r="B114" s="114"/>
    </row>
    <row r="115" spans="2:2">
      <c r="B115" s="114"/>
    </row>
    <row r="116" spans="2:2">
      <c r="B116" s="114"/>
    </row>
    <row r="117" spans="2:2">
      <c r="B117" s="114"/>
    </row>
    <row r="118" spans="2:2">
      <c r="B118" s="114"/>
    </row>
    <row r="119" spans="2:2">
      <c r="B119" s="114"/>
    </row>
    <row r="120" spans="2:2">
      <c r="B120" s="114"/>
    </row>
    <row r="121" spans="2:2">
      <c r="B121" s="114"/>
    </row>
    <row r="122" spans="2:2">
      <c r="B122" s="114"/>
    </row>
    <row r="123" spans="2:2">
      <c r="B123" s="114"/>
    </row>
    <row r="124" spans="2:2">
      <c r="B124" s="114"/>
    </row>
    <row r="125" spans="2:2">
      <c r="B125" s="114"/>
    </row>
    <row r="126" spans="2:2">
      <c r="B126" s="114"/>
    </row>
    <row r="127" spans="2:2">
      <c r="B127" s="114"/>
    </row>
    <row r="128" spans="2:2">
      <c r="B128" s="114"/>
    </row>
    <row r="129" spans="2:2">
      <c r="B129" s="114"/>
    </row>
    <row r="130" spans="2:2">
      <c r="B130" s="114"/>
    </row>
    <row r="131" spans="2:2">
      <c r="B131" s="114"/>
    </row>
    <row r="132" spans="2:2">
      <c r="B132" s="114"/>
    </row>
    <row r="133" spans="2:2">
      <c r="B133" s="114"/>
    </row>
    <row r="134" spans="2:2">
      <c r="B134" s="114"/>
    </row>
    <row r="135" spans="2:2">
      <c r="B135" s="114"/>
    </row>
    <row r="136" spans="2:2">
      <c r="B136" s="114"/>
    </row>
    <row r="137" spans="2:2">
      <c r="B137" s="114"/>
    </row>
    <row r="138" spans="2:2">
      <c r="B138" s="114"/>
    </row>
    <row r="139" spans="2:2">
      <c r="B139" s="114"/>
    </row>
    <row r="140" spans="2:2">
      <c r="B140" s="114"/>
    </row>
    <row r="141" spans="2:2">
      <c r="B141" s="114"/>
    </row>
    <row r="142" spans="2:2">
      <c r="B142" s="114"/>
    </row>
    <row r="143" spans="2:2">
      <c r="B143" s="114"/>
    </row>
    <row r="144" spans="2:2">
      <c r="B144" s="114"/>
    </row>
    <row r="145" spans="2:2">
      <c r="B145" s="114"/>
    </row>
    <row r="146" spans="2:2">
      <c r="B146" s="114"/>
    </row>
    <row r="147" spans="2:2">
      <c r="B147" s="114"/>
    </row>
    <row r="148" spans="2:2">
      <c r="B148" s="114"/>
    </row>
    <row r="149" spans="2:2">
      <c r="B149" s="114"/>
    </row>
    <row r="150" spans="2:2">
      <c r="B150" s="114"/>
    </row>
    <row r="151" spans="2:2">
      <c r="B151" s="114"/>
    </row>
    <row r="152" spans="2:2">
      <c r="B152" s="114"/>
    </row>
    <row r="153" spans="2:2">
      <c r="B153" s="114"/>
    </row>
    <row r="154" spans="2:2">
      <c r="B154" s="114"/>
    </row>
    <row r="155" spans="2:2">
      <c r="B155" s="114"/>
    </row>
    <row r="156" spans="2:2">
      <c r="B156" s="114"/>
    </row>
    <row r="157" spans="2:2">
      <c r="B157" s="114"/>
    </row>
    <row r="158" spans="2:2">
      <c r="B158" s="114"/>
    </row>
    <row r="159" spans="2:2">
      <c r="B159" s="114"/>
    </row>
    <row r="160" spans="2:2">
      <c r="B160" s="114"/>
    </row>
    <row r="161" spans="2:2">
      <c r="B161" s="114"/>
    </row>
    <row r="162" spans="2:2">
      <c r="B162" s="114"/>
    </row>
    <row r="163" spans="2:2">
      <c r="B163" s="114"/>
    </row>
    <row r="164" spans="2:2">
      <c r="B164" s="114"/>
    </row>
    <row r="165" spans="2:2">
      <c r="B165" s="114"/>
    </row>
    <row r="166" spans="2:2">
      <c r="B166" s="114"/>
    </row>
    <row r="167" spans="2:2">
      <c r="B167" s="114"/>
    </row>
    <row r="168" spans="2:2">
      <c r="B168" s="114"/>
    </row>
    <row r="169" spans="2:2">
      <c r="B169" s="114"/>
    </row>
    <row r="170" spans="2:2">
      <c r="B170" s="114"/>
    </row>
    <row r="171" spans="2:2">
      <c r="B171" s="114"/>
    </row>
    <row r="172" spans="2:2">
      <c r="B172" s="114"/>
    </row>
    <row r="173" spans="2:2">
      <c r="B173" s="114"/>
    </row>
    <row r="174" spans="2:2">
      <c r="B174" s="114"/>
    </row>
    <row r="175" spans="2:2">
      <c r="B175" s="114"/>
    </row>
    <row r="176" spans="2:2">
      <c r="B176" s="114"/>
    </row>
    <row r="177" spans="2:2">
      <c r="B177" s="114"/>
    </row>
    <row r="178" spans="2:2">
      <c r="B178" s="114"/>
    </row>
    <row r="179" spans="2:2">
      <c r="B179" s="114"/>
    </row>
    <row r="180" spans="2:2">
      <c r="B180" s="114"/>
    </row>
    <row r="181" spans="2:2">
      <c r="B181" s="114"/>
    </row>
    <row r="182" spans="2:2">
      <c r="B182" s="114"/>
    </row>
    <row r="183" spans="2:2">
      <c r="B183" s="114"/>
    </row>
    <row r="184" spans="2:2">
      <c r="B184" s="114"/>
    </row>
    <row r="185" spans="2:2">
      <c r="B185" s="114"/>
    </row>
    <row r="186" spans="2:2">
      <c r="B186" s="114"/>
    </row>
    <row r="187" spans="2:2">
      <c r="B187" s="114"/>
    </row>
    <row r="188" spans="2:2">
      <c r="B188" s="114"/>
    </row>
    <row r="189" spans="2:2">
      <c r="B189" s="114"/>
    </row>
    <row r="190" spans="2:2">
      <c r="B190" s="114"/>
    </row>
    <row r="191" spans="2:2">
      <c r="B191" s="114"/>
    </row>
    <row r="192" spans="2:2">
      <c r="B192" s="114"/>
    </row>
    <row r="193" spans="2:2">
      <c r="B193" s="114"/>
    </row>
    <row r="194" spans="2:2">
      <c r="B194" s="114"/>
    </row>
    <row r="195" spans="2:2">
      <c r="B195" s="114"/>
    </row>
    <row r="196" spans="2:2">
      <c r="B196" s="114"/>
    </row>
    <row r="197" spans="2:2">
      <c r="B197" s="114"/>
    </row>
    <row r="198" spans="2:2">
      <c r="B198" s="114"/>
    </row>
    <row r="199" spans="2:2">
      <c r="B199" s="114"/>
    </row>
    <row r="200" spans="2:2">
      <c r="B200" s="114"/>
    </row>
    <row r="201" spans="2:2">
      <c r="B201" s="114"/>
    </row>
    <row r="202" spans="2:2">
      <c r="B202" s="114"/>
    </row>
    <row r="203" spans="2:2">
      <c r="B203" s="114"/>
    </row>
    <row r="204" spans="2:2">
      <c r="B204" s="114"/>
    </row>
    <row r="205" spans="2:2">
      <c r="B205" s="114"/>
    </row>
    <row r="206" spans="2:2">
      <c r="B206" s="114"/>
    </row>
    <row r="207" spans="2:2">
      <c r="B207" s="114"/>
    </row>
    <row r="208" spans="2:2">
      <c r="B208" s="114"/>
    </row>
    <row r="209" spans="2:2">
      <c r="B209" s="114"/>
    </row>
    <row r="210" spans="2:2">
      <c r="B210" s="114"/>
    </row>
    <row r="211" spans="2:2">
      <c r="B211" s="114"/>
    </row>
    <row r="212" spans="2:2">
      <c r="B212" s="114"/>
    </row>
    <row r="213" spans="2:2">
      <c r="B213" s="114"/>
    </row>
    <row r="214" spans="2:2">
      <c r="B214" s="114"/>
    </row>
    <row r="215" spans="2:2">
      <c r="B215" s="114"/>
    </row>
    <row r="216" spans="2:2">
      <c r="B216" s="114"/>
    </row>
    <row r="217" spans="2:2">
      <c r="B217" s="114"/>
    </row>
    <row r="218" spans="2:2">
      <c r="B218" s="114"/>
    </row>
    <row r="219" spans="2:2">
      <c r="B219" s="114"/>
    </row>
    <row r="220" spans="2:2">
      <c r="B220" s="114"/>
    </row>
    <row r="221" spans="2:2">
      <c r="B221" s="114"/>
    </row>
    <row r="222" spans="2:2">
      <c r="B222" s="114"/>
    </row>
    <row r="223" spans="2:2">
      <c r="B223" s="114"/>
    </row>
    <row r="224" spans="2:2">
      <c r="B224" s="114"/>
    </row>
    <row r="225" spans="2:2">
      <c r="B225" s="114"/>
    </row>
    <row r="226" spans="2:2">
      <c r="B226" s="114"/>
    </row>
    <row r="227" spans="2:2">
      <c r="B227" s="114"/>
    </row>
    <row r="228" spans="2:2">
      <c r="B228" s="114"/>
    </row>
    <row r="229" spans="2:2">
      <c r="B229" s="114"/>
    </row>
    <row r="230" spans="2:2">
      <c r="B230" s="114"/>
    </row>
    <row r="231" spans="2:2">
      <c r="B231" s="114"/>
    </row>
    <row r="232" spans="2:2">
      <c r="B232" s="114"/>
    </row>
    <row r="233" spans="2:2">
      <c r="B233" s="114"/>
    </row>
    <row r="234" spans="2:2">
      <c r="B234" s="114"/>
    </row>
    <row r="235" spans="2:2">
      <c r="B235" s="114"/>
    </row>
    <row r="236" spans="2:2">
      <c r="B236" s="114"/>
    </row>
    <row r="237" spans="2:2">
      <c r="B237" s="114"/>
    </row>
    <row r="238" spans="2:2">
      <c r="B238" s="114"/>
    </row>
    <row r="239" spans="2:2">
      <c r="B239" s="114"/>
    </row>
    <row r="240" spans="2:2">
      <c r="B240" s="114"/>
    </row>
    <row r="241" spans="2:2">
      <c r="B241" s="114"/>
    </row>
    <row r="242" spans="2:2">
      <c r="B242" s="114"/>
    </row>
    <row r="243" spans="2:2">
      <c r="B243" s="114"/>
    </row>
    <row r="244" spans="2:2">
      <c r="B244" s="114"/>
    </row>
    <row r="245" spans="2:2">
      <c r="B245" s="114"/>
    </row>
    <row r="246" spans="2:2">
      <c r="B246" s="114"/>
    </row>
    <row r="247" spans="2:2">
      <c r="B247" s="114"/>
    </row>
    <row r="248" spans="2:2">
      <c r="B248" s="114"/>
    </row>
    <row r="249" spans="2:2">
      <c r="B249" s="114"/>
    </row>
    <row r="250" spans="2:2">
      <c r="B250" s="114"/>
    </row>
    <row r="251" spans="2:2">
      <c r="B251" s="114"/>
    </row>
    <row r="252" spans="2:2">
      <c r="B252" s="114"/>
    </row>
    <row r="253" spans="2:2">
      <c r="B253" s="114"/>
    </row>
    <row r="254" spans="2:2">
      <c r="B254" s="114"/>
    </row>
    <row r="255" spans="2:2">
      <c r="B255" s="114"/>
    </row>
    <row r="256" spans="2:2">
      <c r="B256" s="114"/>
    </row>
    <row r="257" spans="2:2">
      <c r="B257" s="114"/>
    </row>
    <row r="258" spans="2:2">
      <c r="B258" s="114"/>
    </row>
    <row r="259" spans="2:2">
      <c r="B259" s="114"/>
    </row>
    <row r="260" spans="2:2">
      <c r="B260" s="114"/>
    </row>
    <row r="261" spans="2:2">
      <c r="B261" s="114"/>
    </row>
    <row r="262" spans="2:2">
      <c r="B262" s="114"/>
    </row>
    <row r="263" spans="2:2">
      <c r="B263" s="114"/>
    </row>
    <row r="264" spans="2:2">
      <c r="B264" s="114"/>
    </row>
    <row r="265" spans="2:2">
      <c r="B265" s="114"/>
    </row>
    <row r="266" spans="2:2">
      <c r="B266" s="114"/>
    </row>
    <row r="267" spans="2:2">
      <c r="B267" s="114"/>
    </row>
    <row r="268" spans="2:2">
      <c r="B268" s="114"/>
    </row>
    <row r="269" spans="2:2">
      <c r="B269" s="114"/>
    </row>
    <row r="270" spans="2:2">
      <c r="B270" s="114"/>
    </row>
    <row r="271" spans="2:2">
      <c r="B271" s="114"/>
    </row>
    <row r="272" spans="2:2">
      <c r="B272" s="114"/>
    </row>
    <row r="273" spans="2:2">
      <c r="B273" s="114"/>
    </row>
    <row r="274" spans="2:2">
      <c r="B274" s="114"/>
    </row>
    <row r="275" spans="2:2">
      <c r="B275" s="114"/>
    </row>
    <row r="276" spans="2:2">
      <c r="B276" s="114"/>
    </row>
    <row r="277" spans="2:2">
      <c r="B277" s="114"/>
    </row>
    <row r="278" spans="2:2">
      <c r="B278" s="114"/>
    </row>
    <row r="279" spans="2:2">
      <c r="B279" s="114"/>
    </row>
    <row r="280" spans="2:2">
      <c r="B280" s="114"/>
    </row>
    <row r="281" spans="2:2">
      <c r="B281" s="114"/>
    </row>
    <row r="282" spans="2:2">
      <c r="B282" s="114"/>
    </row>
    <row r="283" spans="2:2">
      <c r="B283" s="114"/>
    </row>
    <row r="284" spans="2:2">
      <c r="B284" s="114"/>
    </row>
    <row r="285" spans="2:2">
      <c r="B285" s="114"/>
    </row>
    <row r="286" spans="2:2">
      <c r="B286" s="114"/>
    </row>
    <row r="287" spans="2:2">
      <c r="B287" s="114"/>
    </row>
    <row r="288" spans="2:2">
      <c r="B288" s="114"/>
    </row>
    <row r="289" spans="2:2">
      <c r="B289" s="114"/>
    </row>
    <row r="290" spans="2:2">
      <c r="B290" s="114"/>
    </row>
    <row r="291" spans="2:2">
      <c r="B291" s="114"/>
    </row>
    <row r="292" spans="2:2">
      <c r="B292" s="114"/>
    </row>
    <row r="293" spans="2:2">
      <c r="B293" s="114"/>
    </row>
    <row r="294" spans="2:2">
      <c r="B294" s="114"/>
    </row>
    <row r="295" spans="2:2">
      <c r="B295" s="114"/>
    </row>
    <row r="296" spans="2:2">
      <c r="B296" s="114"/>
    </row>
    <row r="297" spans="2:2">
      <c r="B297" s="114"/>
    </row>
    <row r="298" spans="2:2">
      <c r="B298" s="114"/>
    </row>
    <row r="299" spans="2:2">
      <c r="B299" s="114"/>
    </row>
    <row r="300" spans="2:2">
      <c r="B300" s="114"/>
    </row>
    <row r="301" spans="2:2">
      <c r="B301" s="114"/>
    </row>
    <row r="302" spans="2:2">
      <c r="B302" s="114"/>
    </row>
    <row r="303" spans="2:2">
      <c r="B303" s="114"/>
    </row>
    <row r="304" spans="2:2">
      <c r="B304" s="114"/>
    </row>
    <row r="305" spans="2:2">
      <c r="B305" s="114"/>
    </row>
    <row r="306" spans="2:2">
      <c r="B306" s="114"/>
    </row>
    <row r="307" spans="2:2">
      <c r="B307" s="114"/>
    </row>
    <row r="308" spans="2:2">
      <c r="B308" s="114"/>
    </row>
    <row r="309" spans="2:2">
      <c r="B309" s="114"/>
    </row>
    <row r="310" spans="2:2">
      <c r="B310" s="114"/>
    </row>
    <row r="311" spans="2:2">
      <c r="B311" s="114"/>
    </row>
    <row r="312" spans="2:2">
      <c r="B312" s="114"/>
    </row>
    <row r="313" spans="2:2">
      <c r="B313" s="114"/>
    </row>
    <row r="314" spans="2:2">
      <c r="B314" s="114"/>
    </row>
    <row r="315" spans="2:2">
      <c r="B315" s="114"/>
    </row>
    <row r="316" spans="2:2">
      <c r="B316" s="114"/>
    </row>
    <row r="317" spans="2:2">
      <c r="B317" s="114"/>
    </row>
    <row r="318" spans="2:2">
      <c r="B318" s="114"/>
    </row>
    <row r="319" spans="2:2">
      <c r="B319" s="114"/>
    </row>
    <row r="320" spans="2:2">
      <c r="B320" s="114"/>
    </row>
    <row r="321" spans="2:2">
      <c r="B321" s="114"/>
    </row>
    <row r="322" spans="2:2">
      <c r="B322" s="114"/>
    </row>
    <row r="323" spans="2:2">
      <c r="B323" s="114"/>
    </row>
    <row r="324" spans="2:2">
      <c r="B324" s="114"/>
    </row>
    <row r="325" spans="2:2">
      <c r="B325" s="114"/>
    </row>
    <row r="326" spans="2:2">
      <c r="B326" s="114"/>
    </row>
    <row r="327" spans="2:2">
      <c r="B327" s="114"/>
    </row>
    <row r="328" spans="2:2">
      <c r="B328" s="114"/>
    </row>
    <row r="329" spans="2:2">
      <c r="B329" s="114"/>
    </row>
    <row r="330" spans="2:2">
      <c r="B330" s="114"/>
    </row>
    <row r="331" spans="2:2">
      <c r="B331" s="114"/>
    </row>
    <row r="332" spans="2:2">
      <c r="B332" s="114"/>
    </row>
    <row r="333" spans="2:2">
      <c r="B333" s="114"/>
    </row>
    <row r="334" spans="2:2">
      <c r="B334" s="114"/>
    </row>
    <row r="335" spans="2:2">
      <c r="B335" s="114"/>
    </row>
    <row r="336" spans="2:2">
      <c r="B336" s="114"/>
    </row>
    <row r="337" spans="2:2">
      <c r="B337" s="114"/>
    </row>
    <row r="338" spans="2:2">
      <c r="B338" s="114"/>
    </row>
    <row r="339" spans="2:2">
      <c r="B339" s="114"/>
    </row>
    <row r="340" spans="2:2">
      <c r="B340" s="114"/>
    </row>
    <row r="341" spans="2:2">
      <c r="B341" s="114"/>
    </row>
    <row r="342" spans="2:2">
      <c r="B342" s="114"/>
    </row>
    <row r="343" spans="2:2">
      <c r="B343" s="114"/>
    </row>
    <row r="344" spans="2:2">
      <c r="B344" s="114"/>
    </row>
    <row r="345" spans="2:2">
      <c r="B345" s="114"/>
    </row>
    <row r="346" spans="2:2">
      <c r="B346" s="114"/>
    </row>
    <row r="347" spans="2:2">
      <c r="B347" s="114"/>
    </row>
    <row r="348" spans="2:2">
      <c r="B348" s="114"/>
    </row>
    <row r="349" spans="2:2">
      <c r="B349" s="114"/>
    </row>
    <row r="350" spans="2:2">
      <c r="B350" s="114"/>
    </row>
    <row r="351" spans="2:2">
      <c r="B351" s="114"/>
    </row>
    <row r="352" spans="2:2">
      <c r="B352" s="114"/>
    </row>
    <row r="353" spans="2:2">
      <c r="B353" s="114"/>
    </row>
    <row r="354" spans="2:2">
      <c r="B354" s="114"/>
    </row>
    <row r="355" spans="2:2">
      <c r="B355" s="114"/>
    </row>
    <row r="356" spans="2:2">
      <c r="B356" s="114"/>
    </row>
    <row r="357" spans="2:2">
      <c r="B357" s="114"/>
    </row>
    <row r="358" spans="2:2">
      <c r="B358" s="114"/>
    </row>
    <row r="359" spans="2:2">
      <c r="B359" s="114"/>
    </row>
    <row r="360" spans="2:2">
      <c r="B360" s="114"/>
    </row>
    <row r="361" spans="2:2">
      <c r="B361" s="114"/>
    </row>
    <row r="362" spans="2:2">
      <c r="B362" s="114"/>
    </row>
    <row r="363" spans="2:2">
      <c r="B363" s="114"/>
    </row>
    <row r="364" spans="2:2">
      <c r="B364" s="114"/>
    </row>
    <row r="365" spans="2:2">
      <c r="B365" s="114"/>
    </row>
    <row r="366" spans="2:2">
      <c r="B366" s="114"/>
    </row>
    <row r="367" spans="2:2">
      <c r="B367" s="114"/>
    </row>
    <row r="368" spans="2:2">
      <c r="B368" s="114"/>
    </row>
    <row r="369" spans="2:2">
      <c r="B369" s="114"/>
    </row>
    <row r="370" spans="2:2">
      <c r="B370" s="114"/>
    </row>
    <row r="371" spans="2:2">
      <c r="B371" s="114"/>
    </row>
    <row r="372" spans="2:2">
      <c r="B372" s="114"/>
    </row>
    <row r="373" spans="2:2">
      <c r="B373" s="114"/>
    </row>
    <row r="374" spans="2:2">
      <c r="B374" s="114"/>
    </row>
    <row r="375" spans="2:2">
      <c r="B375" s="114"/>
    </row>
    <row r="376" spans="2:2">
      <c r="B376" s="114"/>
    </row>
    <row r="377" spans="2:2">
      <c r="B377" s="114"/>
    </row>
    <row r="378" spans="2:2">
      <c r="B378" s="114"/>
    </row>
    <row r="379" spans="2:2">
      <c r="B379" s="114"/>
    </row>
    <row r="380" spans="2:2">
      <c r="B380" s="114"/>
    </row>
    <row r="381" spans="2:2">
      <c r="B381" s="114"/>
    </row>
    <row r="382" spans="2:2">
      <c r="B382" s="114"/>
    </row>
    <row r="383" spans="2:2">
      <c r="B383" s="114"/>
    </row>
    <row r="384" spans="2:2">
      <c r="B384" s="114"/>
    </row>
    <row r="385" spans="2:2">
      <c r="B385" s="114"/>
    </row>
    <row r="386" spans="2:2">
      <c r="B386" s="114"/>
    </row>
    <row r="387" spans="2:2">
      <c r="B387" s="114"/>
    </row>
    <row r="388" spans="2:2">
      <c r="B388" s="114"/>
    </row>
    <row r="389" spans="2:2">
      <c r="B389" s="114"/>
    </row>
    <row r="390" spans="2:2">
      <c r="B390" s="114"/>
    </row>
    <row r="391" spans="2:2">
      <c r="B391" s="114"/>
    </row>
    <row r="392" spans="2:2">
      <c r="B392" s="114"/>
    </row>
    <row r="393" spans="2:2">
      <c r="B393" s="114"/>
    </row>
    <row r="394" spans="2:2">
      <c r="B394" s="114"/>
    </row>
    <row r="395" spans="2:2">
      <c r="B395" s="114"/>
    </row>
    <row r="396" spans="2:2">
      <c r="B396" s="114"/>
    </row>
    <row r="397" spans="2:2">
      <c r="B397" s="114"/>
    </row>
    <row r="398" spans="2:2">
      <c r="B398" s="114"/>
    </row>
    <row r="399" spans="2:2">
      <c r="B399" s="114"/>
    </row>
    <row r="400" spans="2:2">
      <c r="B400" s="114"/>
    </row>
    <row r="401" spans="2:2">
      <c r="B401" s="114"/>
    </row>
    <row r="402" spans="2:2">
      <c r="B402" s="114"/>
    </row>
    <row r="403" spans="2:2">
      <c r="B403" s="114"/>
    </row>
    <row r="404" spans="2:2">
      <c r="B404" s="114"/>
    </row>
    <row r="405" spans="2:2">
      <c r="B405" s="114"/>
    </row>
    <row r="406" spans="2:2">
      <c r="B406" s="114"/>
    </row>
    <row r="407" spans="2:2">
      <c r="B407" s="114"/>
    </row>
    <row r="408" spans="2:2">
      <c r="B408" s="114"/>
    </row>
    <row r="409" spans="2:2">
      <c r="B409" s="114"/>
    </row>
    <row r="410" spans="2:2">
      <c r="B410" s="114"/>
    </row>
    <row r="411" spans="2:2">
      <c r="B411" s="114"/>
    </row>
    <row r="412" spans="2:2">
      <c r="B412" s="114"/>
    </row>
    <row r="413" spans="2:2">
      <c r="B413" s="114"/>
    </row>
    <row r="414" spans="2:2">
      <c r="B414" s="114"/>
    </row>
    <row r="415" spans="2:2">
      <c r="B415" s="114"/>
    </row>
    <row r="416" spans="2:2">
      <c r="B416" s="114"/>
    </row>
    <row r="417" spans="2:2">
      <c r="B417" s="114"/>
    </row>
    <row r="418" spans="2:2">
      <c r="B418" s="114"/>
    </row>
    <row r="419" spans="2:2">
      <c r="B419" s="114"/>
    </row>
    <row r="420" spans="2:2">
      <c r="B420" s="114"/>
    </row>
    <row r="421" spans="2:2">
      <c r="B421" s="114"/>
    </row>
    <row r="422" spans="2:2">
      <c r="B422" s="114"/>
    </row>
    <row r="423" spans="2:2">
      <c r="B423" s="114"/>
    </row>
    <row r="424" spans="2:2">
      <c r="B424" s="114"/>
    </row>
    <row r="425" spans="2:2">
      <c r="B425" s="114"/>
    </row>
    <row r="426" spans="2:2">
      <c r="B426" s="114"/>
    </row>
    <row r="427" spans="2:2">
      <c r="B427" s="114"/>
    </row>
    <row r="428" spans="2:2">
      <c r="B428" s="114"/>
    </row>
    <row r="429" spans="2:2">
      <c r="B429" s="114"/>
    </row>
    <row r="430" spans="2:2">
      <c r="B430" s="114"/>
    </row>
    <row r="431" spans="2:2">
      <c r="B431" s="114"/>
    </row>
    <row r="432" spans="2:2">
      <c r="B432" s="114"/>
    </row>
    <row r="433" spans="2:2">
      <c r="B433" s="114"/>
    </row>
    <row r="434" spans="2:2">
      <c r="B434" s="114"/>
    </row>
    <row r="435" spans="2:2">
      <c r="B435" s="114"/>
    </row>
    <row r="436" spans="2:2">
      <c r="B436" s="114"/>
    </row>
    <row r="437" spans="2:2">
      <c r="B437" s="114"/>
    </row>
    <row r="438" spans="2:2">
      <c r="B438" s="114"/>
    </row>
    <row r="439" spans="2:2">
      <c r="B439" s="114"/>
    </row>
    <row r="440" spans="2:2">
      <c r="B440" s="114"/>
    </row>
    <row r="441" spans="2:2">
      <c r="B441" s="114"/>
    </row>
    <row r="442" spans="2:2">
      <c r="B442" s="114"/>
    </row>
    <row r="443" spans="2:2">
      <c r="B443" s="114"/>
    </row>
    <row r="444" spans="2:2">
      <c r="B444" s="114"/>
    </row>
    <row r="445" spans="2:2">
      <c r="B445" s="114"/>
    </row>
    <row r="446" spans="2:2">
      <c r="B446" s="114"/>
    </row>
    <row r="447" spans="2:2">
      <c r="B447" s="114"/>
    </row>
    <row r="448" spans="2:2">
      <c r="B448" s="114"/>
    </row>
    <row r="449" spans="2:2">
      <c r="B449" s="114"/>
    </row>
    <row r="450" spans="2:2">
      <c r="B450" s="114"/>
    </row>
    <row r="451" spans="2:2">
      <c r="B451" s="114"/>
    </row>
    <row r="452" spans="2:2">
      <c r="B452" s="114"/>
    </row>
    <row r="453" spans="2:2">
      <c r="B453" s="114"/>
    </row>
    <row r="454" spans="2:2">
      <c r="B454" s="114"/>
    </row>
    <row r="455" spans="2:2">
      <c r="B455" s="114"/>
    </row>
    <row r="456" spans="2:2">
      <c r="B456" s="114"/>
    </row>
    <row r="457" spans="2:2">
      <c r="B457" s="114"/>
    </row>
    <row r="458" spans="2:2">
      <c r="B458" s="114"/>
    </row>
    <row r="459" spans="2:2">
      <c r="B459" s="114"/>
    </row>
    <row r="460" spans="2:2">
      <c r="B460" s="114"/>
    </row>
    <row r="461" spans="2:2">
      <c r="B461" s="114"/>
    </row>
    <row r="462" spans="2:2">
      <c r="B462" s="114"/>
    </row>
    <row r="463" spans="2:2">
      <c r="B463" s="114"/>
    </row>
    <row r="464" spans="2:2">
      <c r="B464" s="114"/>
    </row>
    <row r="465" spans="2:2">
      <c r="B465" s="114"/>
    </row>
    <row r="466" spans="2:2">
      <c r="B466" s="114"/>
    </row>
    <row r="467" spans="2:2">
      <c r="B467" s="114"/>
    </row>
    <row r="468" spans="2:2">
      <c r="B468" s="114"/>
    </row>
    <row r="469" spans="2:2">
      <c r="B469" s="114"/>
    </row>
    <row r="470" spans="2:2">
      <c r="B470" s="114"/>
    </row>
    <row r="471" spans="2:2">
      <c r="B471" s="114"/>
    </row>
    <row r="472" spans="2:2">
      <c r="B472" s="114"/>
    </row>
    <row r="473" spans="2:2">
      <c r="B473" s="114"/>
    </row>
    <row r="474" spans="2:2">
      <c r="B474" s="114"/>
    </row>
    <row r="475" spans="2:2">
      <c r="B475" s="114"/>
    </row>
    <row r="476" spans="2:2">
      <c r="B476" s="114"/>
    </row>
    <row r="477" spans="2:2">
      <c r="B477" s="114"/>
    </row>
    <row r="478" spans="2:2">
      <c r="B478" s="114"/>
    </row>
    <row r="479" spans="2:2">
      <c r="B479" s="114"/>
    </row>
    <row r="480" spans="2:2">
      <c r="B480" s="114"/>
    </row>
    <row r="481" spans="2:2">
      <c r="B481" s="114"/>
    </row>
    <row r="482" spans="2:2">
      <c r="B482" s="114"/>
    </row>
    <row r="483" spans="2:2">
      <c r="B483" s="114"/>
    </row>
    <row r="484" spans="2:2">
      <c r="B484" s="114"/>
    </row>
    <row r="485" spans="2:2">
      <c r="B485" s="114"/>
    </row>
    <row r="486" spans="2:2">
      <c r="B486" s="114"/>
    </row>
    <row r="487" spans="2:2">
      <c r="B487" s="114"/>
    </row>
    <row r="488" spans="2:2">
      <c r="B488" s="114"/>
    </row>
    <row r="489" spans="2:2">
      <c r="B489" s="114"/>
    </row>
    <row r="490" spans="2:2">
      <c r="B490" s="114"/>
    </row>
    <row r="491" spans="2:2">
      <c r="B491" s="114"/>
    </row>
    <row r="492" spans="2:2">
      <c r="B492" s="114"/>
    </row>
    <row r="493" spans="2:2">
      <c r="B493" s="114"/>
    </row>
    <row r="494" spans="2:2">
      <c r="B494" s="114"/>
    </row>
    <row r="495" spans="2:2">
      <c r="B495" s="114"/>
    </row>
    <row r="496" spans="2:2">
      <c r="B496" s="114"/>
    </row>
    <row r="497" spans="2:2">
      <c r="B497" s="114"/>
    </row>
    <row r="498" spans="2:2">
      <c r="B498" s="114"/>
    </row>
    <row r="499" spans="2:2">
      <c r="B499" s="114"/>
    </row>
    <row r="500" spans="2:2">
      <c r="B500" s="114"/>
    </row>
    <row r="501" spans="2:2">
      <c r="B501" s="114"/>
    </row>
    <row r="502" spans="2:2">
      <c r="B502" s="114"/>
    </row>
    <row r="503" spans="2:2">
      <c r="B503" s="114"/>
    </row>
    <row r="504" spans="2:2">
      <c r="B504" s="114"/>
    </row>
    <row r="505" spans="2:2">
      <c r="B505" s="114"/>
    </row>
    <row r="506" spans="2:2">
      <c r="B506" s="114"/>
    </row>
    <row r="507" spans="2:2">
      <c r="B507" s="114"/>
    </row>
    <row r="508" spans="2:2">
      <c r="B508" s="114"/>
    </row>
    <row r="509" spans="2:2">
      <c r="B509" s="114"/>
    </row>
    <row r="510" spans="2:2">
      <c r="B510" s="114"/>
    </row>
    <row r="511" spans="2:2">
      <c r="B511" s="114"/>
    </row>
    <row r="512" spans="2:2">
      <c r="B512" s="114"/>
    </row>
    <row r="513" spans="2:2">
      <c r="B513" s="114"/>
    </row>
    <row r="514" spans="2:2">
      <c r="B514" s="114"/>
    </row>
    <row r="515" spans="2:2">
      <c r="B515" s="114"/>
    </row>
    <row r="516" spans="2:2">
      <c r="B516" s="114"/>
    </row>
    <row r="517" spans="2:2">
      <c r="B517" s="114"/>
    </row>
    <row r="518" spans="2:2">
      <c r="B518" s="114"/>
    </row>
    <row r="519" spans="2:2">
      <c r="B519" s="114"/>
    </row>
    <row r="520" spans="2:2">
      <c r="B520" s="114"/>
    </row>
    <row r="521" spans="2:2">
      <c r="B521" s="114"/>
    </row>
    <row r="522" spans="2:2">
      <c r="B522" s="114"/>
    </row>
    <row r="523" spans="2:2">
      <c r="B523" s="114"/>
    </row>
    <row r="524" spans="2:2">
      <c r="B524" s="114"/>
    </row>
    <row r="525" spans="2:2">
      <c r="B525" s="114"/>
    </row>
    <row r="526" spans="2:2">
      <c r="B526" s="114"/>
    </row>
    <row r="527" spans="2:2">
      <c r="B527" s="114"/>
    </row>
    <row r="528" spans="2:2">
      <c r="B528" s="114"/>
    </row>
    <row r="529" spans="2:2">
      <c r="B529" s="114"/>
    </row>
    <row r="530" spans="2:2">
      <c r="B530" s="114"/>
    </row>
    <row r="531" spans="2:2">
      <c r="B531" s="114"/>
    </row>
    <row r="532" spans="2:2">
      <c r="B532" s="114"/>
    </row>
    <row r="533" spans="2:2">
      <c r="B533" s="114"/>
    </row>
    <row r="534" spans="2:2">
      <c r="B534" s="114"/>
    </row>
    <row r="535" spans="2:2">
      <c r="B535" s="114"/>
    </row>
    <row r="536" spans="2:2">
      <c r="B536" s="114"/>
    </row>
    <row r="537" spans="2:2">
      <c r="B537" s="114"/>
    </row>
    <row r="538" spans="2:2">
      <c r="B538" s="114"/>
    </row>
    <row r="539" spans="2:2">
      <c r="B539" s="114"/>
    </row>
    <row r="540" spans="2:2">
      <c r="B540" s="114"/>
    </row>
    <row r="541" spans="2:2">
      <c r="B541" s="114"/>
    </row>
    <row r="542" spans="2:2">
      <c r="B542" s="114"/>
    </row>
    <row r="543" spans="2:2">
      <c r="B543" s="114"/>
    </row>
    <row r="544" spans="2:2">
      <c r="B544" s="114"/>
    </row>
    <row r="545" spans="2:2">
      <c r="B545" s="114"/>
    </row>
    <row r="546" spans="2:2">
      <c r="B546" s="114"/>
    </row>
    <row r="547" spans="2:2">
      <c r="B547" s="114"/>
    </row>
    <row r="548" spans="2:2">
      <c r="B548" s="114"/>
    </row>
    <row r="549" spans="2:2">
      <c r="B549" s="114"/>
    </row>
    <row r="550" spans="2:2">
      <c r="B550" s="114"/>
    </row>
    <row r="551" spans="2:2">
      <c r="B551" s="114"/>
    </row>
    <row r="552" spans="2:2">
      <c r="B552" s="114"/>
    </row>
    <row r="553" spans="2:2">
      <c r="B553" s="114"/>
    </row>
    <row r="554" spans="2:2">
      <c r="B554" s="114"/>
    </row>
    <row r="555" spans="2:2">
      <c r="B555" s="114"/>
    </row>
    <row r="556" spans="2:2">
      <c r="B556" s="114"/>
    </row>
    <row r="557" spans="2:2">
      <c r="B557" s="114"/>
    </row>
    <row r="558" spans="2:2">
      <c r="B558" s="114"/>
    </row>
    <row r="559" spans="2:2">
      <c r="B559" s="114"/>
    </row>
    <row r="560" spans="2:2">
      <c r="B560" s="114"/>
    </row>
    <row r="561" spans="2:2">
      <c r="B561" s="114"/>
    </row>
    <row r="562" spans="2:2">
      <c r="B562" s="114"/>
    </row>
    <row r="563" spans="2:2">
      <c r="B563" s="114"/>
    </row>
    <row r="564" spans="2:2">
      <c r="B564" s="114"/>
    </row>
    <row r="565" spans="2:2">
      <c r="B565" s="114"/>
    </row>
    <row r="566" spans="2:2">
      <c r="B566" s="114"/>
    </row>
    <row r="567" spans="2:2">
      <c r="B567" s="114"/>
    </row>
    <row r="568" spans="2:2">
      <c r="B568" s="114"/>
    </row>
    <row r="569" spans="2:2">
      <c r="B569" s="114"/>
    </row>
    <row r="570" spans="2:2">
      <c r="B570" s="114"/>
    </row>
    <row r="571" spans="2:2">
      <c r="B571" s="114"/>
    </row>
    <row r="572" spans="2:2">
      <c r="B572" s="114"/>
    </row>
    <row r="573" spans="2:2">
      <c r="B573" s="114"/>
    </row>
    <row r="574" spans="2:2">
      <c r="B574" s="114"/>
    </row>
    <row r="575" spans="2:2">
      <c r="B575" s="114"/>
    </row>
    <row r="576" spans="2:2">
      <c r="B576" s="114"/>
    </row>
    <row r="577" spans="2:2">
      <c r="B577" s="114"/>
    </row>
    <row r="578" spans="2:2">
      <c r="B578" s="114"/>
    </row>
    <row r="579" spans="2:2">
      <c r="B579" s="114"/>
    </row>
    <row r="580" spans="2:2">
      <c r="B580" s="114"/>
    </row>
    <row r="581" spans="2:2">
      <c r="B581" s="114"/>
    </row>
    <row r="582" spans="2:2">
      <c r="B582" s="114"/>
    </row>
    <row r="583" spans="2:2">
      <c r="B583" s="114"/>
    </row>
    <row r="584" spans="2:2">
      <c r="B584" s="114"/>
    </row>
    <row r="585" spans="2:2">
      <c r="B585" s="114"/>
    </row>
    <row r="586" spans="2:2">
      <c r="B586" s="114"/>
    </row>
    <row r="587" spans="2:2">
      <c r="B587" s="114"/>
    </row>
    <row r="588" spans="2:2">
      <c r="B588" s="114"/>
    </row>
    <row r="589" spans="2:2">
      <c r="B589" s="114"/>
    </row>
    <row r="590" spans="2:2">
      <c r="B590" s="114"/>
    </row>
    <row r="591" spans="2:2">
      <c r="B591" s="114"/>
    </row>
    <row r="592" spans="2:2">
      <c r="B592" s="114"/>
    </row>
    <row r="593" spans="2:2">
      <c r="B593" s="114"/>
    </row>
    <row r="594" spans="2:2">
      <c r="B594" s="114"/>
    </row>
    <row r="595" spans="2:2">
      <c r="B595" s="114"/>
    </row>
    <row r="596" spans="2:2">
      <c r="B596" s="114"/>
    </row>
    <row r="597" spans="2:2">
      <c r="B597" s="114"/>
    </row>
    <row r="598" spans="2:2">
      <c r="B598" s="114"/>
    </row>
    <row r="599" spans="2:2">
      <c r="B599" s="114"/>
    </row>
    <row r="600" spans="2:2">
      <c r="B600" s="114"/>
    </row>
    <row r="601" spans="2:2">
      <c r="B601" s="114"/>
    </row>
    <row r="602" spans="2:2">
      <c r="B602" s="114"/>
    </row>
    <row r="603" spans="2:2">
      <c r="B603" s="114"/>
    </row>
    <row r="604" spans="2:2">
      <c r="B604" s="114"/>
    </row>
    <row r="605" spans="2:2">
      <c r="B605" s="114"/>
    </row>
    <row r="606" spans="2:2">
      <c r="B606" s="114"/>
    </row>
    <row r="607" spans="2:2">
      <c r="B607" s="114"/>
    </row>
    <row r="608" spans="2:2">
      <c r="B608" s="114"/>
    </row>
    <row r="609" spans="2:2">
      <c r="B609" s="114"/>
    </row>
    <row r="610" spans="2:2">
      <c r="B610" s="114"/>
    </row>
    <row r="611" spans="2:2">
      <c r="B611" s="114"/>
    </row>
    <row r="612" spans="2:2">
      <c r="B612" s="114"/>
    </row>
    <row r="613" spans="2:2">
      <c r="B613" s="114"/>
    </row>
    <row r="614" spans="2:2">
      <c r="B614" s="114"/>
    </row>
    <row r="615" spans="2:2">
      <c r="B615" s="114"/>
    </row>
    <row r="616" spans="2:2">
      <c r="B616" s="114"/>
    </row>
    <row r="617" spans="2:2">
      <c r="B617" s="114"/>
    </row>
    <row r="618" spans="2:2">
      <c r="B618" s="114"/>
    </row>
    <row r="619" spans="2:2">
      <c r="B619" s="114"/>
    </row>
    <row r="620" spans="2:2">
      <c r="B620" s="114"/>
    </row>
    <row r="621" spans="2:2">
      <c r="B621" s="114"/>
    </row>
    <row r="622" spans="2:2">
      <c r="B622" s="114"/>
    </row>
    <row r="623" spans="2:2">
      <c r="B623" s="114"/>
    </row>
    <row r="624" spans="2:2">
      <c r="B624" s="114"/>
    </row>
    <row r="625" spans="2:2">
      <c r="B625" s="114"/>
    </row>
    <row r="626" spans="2:2">
      <c r="B626" s="114"/>
    </row>
    <row r="627" spans="2:2">
      <c r="B627" s="114"/>
    </row>
    <row r="628" spans="2:2">
      <c r="B628" s="114"/>
    </row>
    <row r="629" spans="2:2">
      <c r="B629" s="114"/>
    </row>
    <row r="630" spans="2:2">
      <c r="B630" s="114"/>
    </row>
    <row r="631" spans="2:2">
      <c r="B631" s="114"/>
    </row>
    <row r="632" spans="2:2">
      <c r="B632" s="114"/>
    </row>
    <row r="633" spans="2:2">
      <c r="B633" s="114"/>
    </row>
    <row r="634" spans="2:2">
      <c r="B634" s="114"/>
    </row>
    <row r="635" spans="2:2">
      <c r="B635" s="114"/>
    </row>
    <row r="636" spans="2:2">
      <c r="B636" s="114"/>
    </row>
    <row r="637" spans="2:2">
      <c r="B637" s="114"/>
    </row>
    <row r="638" spans="2:2">
      <c r="B638" s="114"/>
    </row>
    <row r="639" spans="2:2">
      <c r="B639" s="114"/>
    </row>
    <row r="640" spans="2:2">
      <c r="B640" s="114"/>
    </row>
    <row r="641" spans="2:2">
      <c r="B641" s="114"/>
    </row>
    <row r="642" spans="2:2">
      <c r="B642" s="114"/>
    </row>
    <row r="643" spans="2:2">
      <c r="B643" s="114"/>
    </row>
    <row r="644" spans="2:2">
      <c r="B644" s="114"/>
    </row>
    <row r="645" spans="2:2">
      <c r="B645" s="114"/>
    </row>
    <row r="646" spans="2:2">
      <c r="B646" s="114"/>
    </row>
    <row r="647" spans="2:2">
      <c r="B647" s="114"/>
    </row>
    <row r="648" spans="2:2">
      <c r="B648" s="114"/>
    </row>
    <row r="649" spans="2:2">
      <c r="B649" s="114"/>
    </row>
    <row r="650" spans="2:2">
      <c r="B650" s="114"/>
    </row>
    <row r="651" spans="2:2">
      <c r="B651" s="114"/>
    </row>
    <row r="652" spans="2:2">
      <c r="B652" s="114"/>
    </row>
    <row r="653" spans="2:2">
      <c r="B653" s="114"/>
    </row>
    <row r="654" spans="2:2">
      <c r="B654" s="114"/>
    </row>
    <row r="655" spans="2:2">
      <c r="B655" s="114"/>
    </row>
    <row r="656" spans="2:2">
      <c r="B656" s="114"/>
    </row>
    <row r="657" spans="2:2">
      <c r="B657" s="114"/>
    </row>
    <row r="658" spans="2:2">
      <c r="B658" s="114"/>
    </row>
    <row r="659" spans="2:2">
      <c r="B659" s="114"/>
    </row>
    <row r="660" spans="2:2">
      <c r="B660" s="114"/>
    </row>
    <row r="661" spans="2:2">
      <c r="B661" s="114"/>
    </row>
    <row r="662" spans="2:2">
      <c r="B662" s="114"/>
    </row>
    <row r="663" spans="2:2">
      <c r="B663" s="114"/>
    </row>
    <row r="664" spans="2:2">
      <c r="B664" s="114"/>
    </row>
    <row r="665" spans="2:2">
      <c r="B665" s="114"/>
    </row>
    <row r="666" spans="2:2">
      <c r="B666" s="114"/>
    </row>
    <row r="667" spans="2:2">
      <c r="B667" s="114"/>
    </row>
    <row r="668" spans="2:2">
      <c r="B668" s="114"/>
    </row>
    <row r="669" spans="2:2">
      <c r="B669" s="114"/>
    </row>
    <row r="670" spans="2:2">
      <c r="B670" s="114"/>
    </row>
    <row r="671" spans="2:2">
      <c r="B671" s="114"/>
    </row>
    <row r="672" spans="2:2">
      <c r="B672" s="114"/>
    </row>
    <row r="673" spans="2:2">
      <c r="B673" s="114"/>
    </row>
    <row r="674" spans="2:2">
      <c r="B674" s="114"/>
    </row>
    <row r="675" spans="2:2">
      <c r="B675" s="114"/>
    </row>
    <row r="676" spans="2:2">
      <c r="B676" s="114"/>
    </row>
    <row r="677" spans="2:2">
      <c r="B677" s="114"/>
    </row>
    <row r="678" spans="2:2">
      <c r="B678" s="114"/>
    </row>
    <row r="679" spans="2:2">
      <c r="B679" s="114"/>
    </row>
    <row r="680" spans="2:2">
      <c r="B680" s="114"/>
    </row>
    <row r="681" spans="2:2">
      <c r="B681" s="114"/>
    </row>
    <row r="682" spans="2:2">
      <c r="B682" s="114"/>
    </row>
    <row r="683" spans="2:2">
      <c r="B683" s="114"/>
    </row>
    <row r="684" spans="2:2">
      <c r="B684" s="114"/>
    </row>
    <row r="685" spans="2:2">
      <c r="B685" s="114"/>
    </row>
    <row r="686" spans="2:2">
      <c r="B686" s="114"/>
    </row>
    <row r="687" spans="2:2">
      <c r="B687" s="114"/>
    </row>
    <row r="688" spans="2:2">
      <c r="B688" s="114"/>
    </row>
    <row r="689" spans="2:2">
      <c r="B689" s="114"/>
    </row>
    <row r="690" spans="2:2">
      <c r="B690" s="114"/>
    </row>
    <row r="691" spans="2:2">
      <c r="B691" s="114"/>
    </row>
    <row r="692" spans="2:2">
      <c r="B692" s="114"/>
    </row>
    <row r="693" spans="2:2">
      <c r="B693" s="114"/>
    </row>
    <row r="694" spans="2:2">
      <c r="B694" s="114"/>
    </row>
    <row r="695" spans="2:2">
      <c r="B695" s="114"/>
    </row>
    <row r="696" spans="2:2">
      <c r="B696" s="114"/>
    </row>
    <row r="697" spans="2:2">
      <c r="B697" s="114"/>
    </row>
    <row r="698" spans="2:2">
      <c r="B698" s="114"/>
    </row>
    <row r="699" spans="2:2">
      <c r="B699" s="114"/>
    </row>
    <row r="700" spans="2:2">
      <c r="B700" s="114"/>
    </row>
    <row r="701" spans="2:2">
      <c r="B701" s="114"/>
    </row>
    <row r="702" spans="2:2">
      <c r="B702" s="114"/>
    </row>
    <row r="703" spans="2:2">
      <c r="B703" s="114"/>
    </row>
    <row r="704" spans="2:2">
      <c r="B704" s="114"/>
    </row>
    <row r="705" spans="2:2">
      <c r="B705" s="114"/>
    </row>
    <row r="706" spans="2:2">
      <c r="B706" s="114"/>
    </row>
    <row r="707" spans="2:2">
      <c r="B707" s="114"/>
    </row>
    <row r="708" spans="2:2">
      <c r="B708" s="114"/>
    </row>
    <row r="709" spans="2:2">
      <c r="B709" s="114"/>
    </row>
    <row r="710" spans="2:2">
      <c r="B710" s="114"/>
    </row>
    <row r="711" spans="2:2">
      <c r="B711" s="114"/>
    </row>
    <row r="712" spans="2:2">
      <c r="B712" s="114"/>
    </row>
    <row r="713" spans="2:2">
      <c r="B713" s="114"/>
    </row>
    <row r="714" spans="2:2">
      <c r="B714" s="114"/>
    </row>
    <row r="715" spans="2:2">
      <c r="B715" s="114"/>
    </row>
    <row r="716" spans="2:2">
      <c r="B716" s="114"/>
    </row>
    <row r="717" spans="2:2">
      <c r="B717" s="114"/>
    </row>
    <row r="718" spans="2:2">
      <c r="B718" s="114"/>
    </row>
    <row r="719" spans="2:2">
      <c r="B719" s="114"/>
    </row>
    <row r="720" spans="2:2">
      <c r="B720" s="114"/>
    </row>
    <row r="721" spans="2:2">
      <c r="B721" s="114"/>
    </row>
    <row r="722" spans="2:2">
      <c r="B722" s="114"/>
    </row>
    <row r="723" spans="2:2">
      <c r="B723" s="114"/>
    </row>
    <row r="724" spans="2:2">
      <c r="B724" s="114"/>
    </row>
    <row r="725" spans="2:2">
      <c r="B725" s="114"/>
    </row>
    <row r="726" spans="2:2">
      <c r="B726" s="114"/>
    </row>
    <row r="727" spans="2:2">
      <c r="B727" s="114"/>
    </row>
    <row r="728" spans="2:2">
      <c r="B728" s="114"/>
    </row>
    <row r="729" spans="2:2">
      <c r="B729" s="114"/>
    </row>
    <row r="730" spans="2:2">
      <c r="B730" s="114"/>
    </row>
    <row r="731" spans="2:2">
      <c r="B731" s="114"/>
    </row>
    <row r="732" spans="2:2">
      <c r="B732" s="114"/>
    </row>
    <row r="733" spans="2:2">
      <c r="B733" s="114"/>
    </row>
    <row r="734" spans="2:2">
      <c r="B734" s="114"/>
    </row>
    <row r="735" spans="2:2">
      <c r="B735" s="114"/>
    </row>
    <row r="736" spans="2:2">
      <c r="B736" s="114"/>
    </row>
    <row r="737" spans="2:2">
      <c r="B737" s="114"/>
    </row>
    <row r="738" spans="2:2">
      <c r="B738" s="114"/>
    </row>
    <row r="739" spans="2:2">
      <c r="B739" s="114"/>
    </row>
    <row r="740" spans="2:2">
      <c r="B740" s="114"/>
    </row>
    <row r="741" spans="2:2">
      <c r="B741" s="114"/>
    </row>
    <row r="742" spans="2:2">
      <c r="B742" s="114"/>
    </row>
    <row r="743" spans="2:2">
      <c r="B743" s="114"/>
    </row>
    <row r="744" spans="2:2">
      <c r="B744" s="114"/>
    </row>
    <row r="745" spans="2:2">
      <c r="B745" s="114"/>
    </row>
    <row r="746" spans="2:2">
      <c r="B746" s="114"/>
    </row>
    <row r="747" spans="2:2">
      <c r="B747" s="114"/>
    </row>
    <row r="748" spans="2:2">
      <c r="B748" s="114"/>
    </row>
    <row r="749" spans="2:2">
      <c r="B749" s="114"/>
    </row>
    <row r="750" spans="2:2">
      <c r="B750" s="114"/>
    </row>
    <row r="751" spans="2:2">
      <c r="B751" s="114"/>
    </row>
    <row r="752" spans="2:2">
      <c r="B752" s="114"/>
    </row>
    <row r="753" spans="2:2">
      <c r="B753" s="114"/>
    </row>
    <row r="754" spans="2:2">
      <c r="B754" s="114"/>
    </row>
    <row r="755" spans="2:2">
      <c r="B755" s="114"/>
    </row>
    <row r="756" spans="2:2">
      <c r="B756" s="114"/>
    </row>
    <row r="757" spans="2:2">
      <c r="B757" s="114"/>
    </row>
    <row r="758" spans="2:2">
      <c r="B758" s="114"/>
    </row>
    <row r="759" spans="2:2">
      <c r="B759" s="114"/>
    </row>
    <row r="760" spans="2:2">
      <c r="B760" s="114"/>
    </row>
    <row r="761" spans="2:2">
      <c r="B761" s="114"/>
    </row>
    <row r="762" spans="2:2">
      <c r="B762" s="114"/>
    </row>
    <row r="763" spans="2:2">
      <c r="B763" s="114"/>
    </row>
    <row r="764" spans="2:2">
      <c r="B764" s="114"/>
    </row>
    <row r="765" spans="2:2">
      <c r="B765" s="114"/>
    </row>
    <row r="766" spans="2:2">
      <c r="B766" s="114"/>
    </row>
    <row r="767" spans="2:2">
      <c r="B767" s="114"/>
    </row>
    <row r="768" spans="2:2">
      <c r="B768" s="114"/>
    </row>
    <row r="769" spans="2:2">
      <c r="B769" s="114"/>
    </row>
    <row r="770" spans="2:2">
      <c r="B770" s="114"/>
    </row>
    <row r="771" spans="2:2">
      <c r="B771" s="114"/>
    </row>
    <row r="772" spans="2:2">
      <c r="B772" s="114"/>
    </row>
    <row r="773" spans="2:2">
      <c r="B773" s="114"/>
    </row>
    <row r="774" spans="2:2">
      <c r="B774" s="114"/>
    </row>
    <row r="775" spans="2:2">
      <c r="B775" s="114"/>
    </row>
    <row r="776" spans="2:2">
      <c r="B776" s="114"/>
    </row>
    <row r="777" spans="2:2">
      <c r="B777" s="114"/>
    </row>
    <row r="778" spans="2:2">
      <c r="B778" s="114"/>
    </row>
    <row r="779" spans="2:2">
      <c r="B779" s="114"/>
    </row>
    <row r="780" spans="2:2">
      <c r="B780" s="114"/>
    </row>
    <row r="781" spans="2:2">
      <c r="B781" s="114"/>
    </row>
    <row r="782" spans="2:2">
      <c r="B782" s="114"/>
    </row>
    <row r="783" spans="2:2">
      <c r="B783" s="114"/>
    </row>
    <row r="784" spans="2:2">
      <c r="B784" s="114"/>
    </row>
    <row r="785" spans="2:2">
      <c r="B785" s="114"/>
    </row>
    <row r="786" spans="2:2">
      <c r="B786" s="114"/>
    </row>
    <row r="787" spans="2:2">
      <c r="B787" s="114"/>
    </row>
    <row r="788" spans="2:2">
      <c r="B788" s="114"/>
    </row>
    <row r="789" spans="2:2">
      <c r="B789" s="114"/>
    </row>
    <row r="790" spans="2:2">
      <c r="B790" s="114"/>
    </row>
    <row r="791" spans="2:2">
      <c r="B791" s="114"/>
    </row>
    <row r="792" spans="2:2">
      <c r="B792" s="114"/>
    </row>
    <row r="793" spans="2:2">
      <c r="B793" s="114"/>
    </row>
    <row r="794" spans="2:2">
      <c r="B794" s="114"/>
    </row>
    <row r="795" spans="2:2">
      <c r="B795" s="114"/>
    </row>
    <row r="796" spans="2:2">
      <c r="B796" s="114"/>
    </row>
    <row r="797" spans="2:2">
      <c r="B797" s="114"/>
    </row>
    <row r="798" spans="2:2">
      <c r="B798" s="114"/>
    </row>
    <row r="799" spans="2:2">
      <c r="B799" s="114"/>
    </row>
    <row r="800" spans="2:2">
      <c r="B800" s="114"/>
    </row>
    <row r="801" spans="2:2">
      <c r="B801" s="114"/>
    </row>
    <row r="802" spans="2:2">
      <c r="B802" s="114"/>
    </row>
    <row r="803" spans="2:2">
      <c r="B803" s="114"/>
    </row>
    <row r="804" spans="2:2">
      <c r="B804" s="114"/>
    </row>
    <row r="805" spans="2:2">
      <c r="B805" s="114"/>
    </row>
    <row r="806" spans="2:2">
      <c r="B806" s="114"/>
    </row>
    <row r="807" spans="2:2">
      <c r="B807" s="114"/>
    </row>
    <row r="808" spans="2:2">
      <c r="B808" s="114"/>
    </row>
    <row r="809" spans="2:2">
      <c r="B809" s="114"/>
    </row>
    <row r="810" spans="2:2">
      <c r="B810" s="114"/>
    </row>
    <row r="811" spans="2:2">
      <c r="B811" s="114"/>
    </row>
    <row r="812" spans="2:2">
      <c r="B812" s="114"/>
    </row>
    <row r="813" spans="2:2">
      <c r="B813" s="114"/>
    </row>
    <row r="814" spans="2:2">
      <c r="B814" s="114"/>
    </row>
    <row r="815" spans="2:2">
      <c r="B815" s="114"/>
    </row>
    <row r="816" spans="2:2">
      <c r="B816" s="114"/>
    </row>
    <row r="817" spans="2:2">
      <c r="B817" s="114"/>
    </row>
    <row r="818" spans="2:2">
      <c r="B818" s="114"/>
    </row>
    <row r="819" spans="2:2">
      <c r="B819" s="114"/>
    </row>
    <row r="820" spans="2:2">
      <c r="B820" s="114"/>
    </row>
    <row r="821" spans="2:2">
      <c r="B821" s="114"/>
    </row>
    <row r="822" spans="2:2">
      <c r="B822" s="114"/>
    </row>
    <row r="823" spans="2:2">
      <c r="B823" s="114"/>
    </row>
    <row r="824" spans="2:2">
      <c r="B824" s="114"/>
    </row>
    <row r="825" spans="2:2">
      <c r="B825" s="114"/>
    </row>
    <row r="826" spans="2:2">
      <c r="B826" s="114"/>
    </row>
    <row r="827" spans="2:2">
      <c r="B827" s="114"/>
    </row>
    <row r="828" spans="2:2">
      <c r="B828" s="114"/>
    </row>
    <row r="829" spans="2:2">
      <c r="B829" s="114"/>
    </row>
    <row r="830" spans="2:2">
      <c r="B830" s="114"/>
    </row>
    <row r="831" spans="2:2">
      <c r="B831" s="114"/>
    </row>
    <row r="832" spans="2:2">
      <c r="B832" s="114"/>
    </row>
    <row r="833" spans="2:2">
      <c r="B833" s="114"/>
    </row>
    <row r="834" spans="2:2">
      <c r="B834" s="114"/>
    </row>
    <row r="835" spans="2:2">
      <c r="B835" s="114"/>
    </row>
    <row r="836" spans="2:2">
      <c r="B836" s="114"/>
    </row>
    <row r="837" spans="2:2">
      <c r="B837" s="114"/>
    </row>
    <row r="838" spans="2:2">
      <c r="B838" s="114"/>
    </row>
    <row r="839" spans="2:2">
      <c r="B839" s="114"/>
    </row>
    <row r="840" spans="2:2">
      <c r="B840" s="114"/>
    </row>
    <row r="841" spans="2:2">
      <c r="B841" s="114"/>
    </row>
    <row r="842" spans="2:2">
      <c r="B842" s="114"/>
    </row>
    <row r="843" spans="2:2">
      <c r="B843" s="114"/>
    </row>
    <row r="844" spans="2:2">
      <c r="B844" s="114"/>
    </row>
    <row r="845" spans="2:2">
      <c r="B845" s="114"/>
    </row>
    <row r="846" spans="2:2">
      <c r="B846" s="114"/>
    </row>
    <row r="847" spans="2:2">
      <c r="B847" s="114"/>
    </row>
    <row r="848" spans="2:2">
      <c r="B848" s="114"/>
    </row>
    <row r="849" spans="2:2">
      <c r="B849" s="114"/>
    </row>
    <row r="850" spans="2:2">
      <c r="B850" s="114"/>
    </row>
    <row r="851" spans="2:2">
      <c r="B851" s="114"/>
    </row>
    <row r="852" spans="2:2">
      <c r="B852" s="114"/>
    </row>
    <row r="853" spans="2:2">
      <c r="B853" s="114"/>
    </row>
    <row r="854" spans="2:2">
      <c r="B854" s="114"/>
    </row>
    <row r="855" spans="2:2">
      <c r="B855" s="114"/>
    </row>
    <row r="856" spans="2:2">
      <c r="B856" s="114"/>
    </row>
    <row r="857" spans="2:2">
      <c r="B857" s="114"/>
    </row>
    <row r="858" spans="2:2">
      <c r="B858" s="114"/>
    </row>
    <row r="859" spans="2:2">
      <c r="B859" s="114"/>
    </row>
    <row r="860" spans="2:2">
      <c r="B860" s="114"/>
    </row>
    <row r="861" spans="2:2">
      <c r="B861" s="114"/>
    </row>
    <row r="862" spans="2:2">
      <c r="B862" s="114"/>
    </row>
    <row r="863" spans="2:2">
      <c r="B863" s="114"/>
    </row>
    <row r="864" spans="2:2">
      <c r="B864" s="114"/>
    </row>
    <row r="865" spans="2:2">
      <c r="B865" s="114"/>
    </row>
    <row r="866" spans="2:2">
      <c r="B866" s="114"/>
    </row>
    <row r="867" spans="2:2">
      <c r="B867" s="114"/>
    </row>
    <row r="868" spans="2:2">
      <c r="B868" s="114"/>
    </row>
    <row r="869" spans="2:2">
      <c r="B869" s="114"/>
    </row>
    <row r="870" spans="2:2">
      <c r="B870" s="114"/>
    </row>
    <row r="871" spans="2:2">
      <c r="B871" s="114"/>
    </row>
    <row r="872" spans="2:2">
      <c r="B872" s="114"/>
    </row>
    <row r="873" spans="2:2">
      <c r="B873" s="114"/>
    </row>
    <row r="874" spans="2:2">
      <c r="B874" s="114"/>
    </row>
    <row r="875" spans="2:2">
      <c r="B875" s="114"/>
    </row>
    <row r="876" spans="2:2">
      <c r="B876" s="114"/>
    </row>
    <row r="877" spans="2:2">
      <c r="B877" s="114"/>
    </row>
    <row r="878" spans="2:2">
      <c r="B878" s="114"/>
    </row>
    <row r="879" spans="2:2">
      <c r="B879" s="114"/>
    </row>
    <row r="880" spans="2:2">
      <c r="B880" s="114"/>
    </row>
    <row r="881" spans="2:2">
      <c r="B881" s="114"/>
    </row>
    <row r="882" spans="2:2">
      <c r="B882" s="114"/>
    </row>
    <row r="883" spans="2:2">
      <c r="B883" s="114"/>
    </row>
    <row r="884" spans="2:2">
      <c r="B884" s="114"/>
    </row>
    <row r="885" spans="2:2">
      <c r="B885" s="114"/>
    </row>
    <row r="886" spans="2:2">
      <c r="B886" s="114"/>
    </row>
    <row r="887" spans="2:2">
      <c r="B887" s="114"/>
    </row>
    <row r="888" spans="2:2">
      <c r="B888" s="114"/>
    </row>
    <row r="889" spans="2:2">
      <c r="B889" s="114"/>
    </row>
    <row r="890" spans="2:2">
      <c r="B890" s="114"/>
    </row>
    <row r="891" spans="2:2">
      <c r="B891" s="114"/>
    </row>
    <row r="892" spans="2:2">
      <c r="B892" s="114"/>
    </row>
    <row r="893" spans="2:2">
      <c r="B893" s="114"/>
    </row>
    <row r="894" spans="2:2">
      <c r="B894" s="114"/>
    </row>
    <row r="895" spans="2:2">
      <c r="B895" s="114"/>
    </row>
    <row r="896" spans="2:2">
      <c r="B896" s="114"/>
    </row>
    <row r="897" spans="2:2">
      <c r="B897" s="114"/>
    </row>
    <row r="898" spans="2:2">
      <c r="B898" s="114"/>
    </row>
    <row r="899" spans="2:2">
      <c r="B899" s="114"/>
    </row>
    <row r="900" spans="2:2">
      <c r="B900" s="114"/>
    </row>
    <row r="901" spans="2:2">
      <c r="B901" s="114"/>
    </row>
    <row r="902" spans="2:2">
      <c r="B902" s="114"/>
    </row>
    <row r="903" spans="2:2">
      <c r="B903" s="114"/>
    </row>
    <row r="904" spans="2:2">
      <c r="B904" s="114"/>
    </row>
    <row r="905" spans="2:2">
      <c r="B905" s="114"/>
    </row>
    <row r="906" spans="2:2">
      <c r="B906" s="114"/>
    </row>
    <row r="907" spans="2:2">
      <c r="B907" s="114"/>
    </row>
    <row r="908" spans="2:2">
      <c r="B908" s="114"/>
    </row>
    <row r="909" spans="2:2">
      <c r="B909" s="114"/>
    </row>
    <row r="910" spans="2:2">
      <c r="B910" s="114"/>
    </row>
    <row r="911" spans="2:2">
      <c r="B911" s="114"/>
    </row>
    <row r="912" spans="2:2">
      <c r="B912" s="114"/>
    </row>
    <row r="913" spans="2:2">
      <c r="B913" s="114"/>
    </row>
    <row r="914" spans="2:2">
      <c r="B914" s="114"/>
    </row>
    <row r="915" spans="2:2">
      <c r="B915" s="114"/>
    </row>
    <row r="916" spans="2:2">
      <c r="B916" s="114"/>
    </row>
    <row r="917" spans="2:2">
      <c r="B917" s="114"/>
    </row>
    <row r="918" spans="2:2">
      <c r="B918" s="114"/>
    </row>
    <row r="919" spans="2:2">
      <c r="B919" s="114"/>
    </row>
    <row r="920" spans="2:2">
      <c r="B920" s="114"/>
    </row>
    <row r="921" spans="2:2">
      <c r="B921" s="114"/>
    </row>
    <row r="922" spans="2:2">
      <c r="B922" s="114"/>
    </row>
    <row r="923" spans="2:2">
      <c r="B923" s="114"/>
    </row>
    <row r="924" spans="2:2">
      <c r="B924" s="114"/>
    </row>
    <row r="925" spans="2:2">
      <c r="B925" s="114"/>
    </row>
    <row r="926" spans="2:2">
      <c r="B926" s="114"/>
    </row>
  </sheetData>
  <mergeCells count="17">
    <mergeCell ref="A11:D11"/>
    <mergeCell ref="A13:B13"/>
    <mergeCell ref="C13:I13"/>
    <mergeCell ref="K13:Q13"/>
    <mergeCell ref="C17:H17"/>
    <mergeCell ref="K51:Q61"/>
    <mergeCell ref="C67:H67"/>
    <mergeCell ref="C73:H73"/>
    <mergeCell ref="A76:G76"/>
    <mergeCell ref="B77:I77"/>
    <mergeCell ref="J13:J14"/>
    <mergeCell ref="J29:J31"/>
    <mergeCell ref="C35:H35"/>
    <mergeCell ref="K36:Q49"/>
    <mergeCell ref="C50:H50"/>
    <mergeCell ref="C21:H21"/>
    <mergeCell ref="C29:H29"/>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AA959"/>
  <sheetViews>
    <sheetView workbookViewId="0"/>
  </sheetViews>
  <sheetFormatPr defaultColWidth="12.5703125" defaultRowHeight="15.75" customHeight="1"/>
  <cols>
    <col min="1" max="1" width="4.85546875" customWidth="1"/>
    <col min="2" max="2" width="48.42578125" customWidth="1"/>
    <col min="6" max="6" width="12" customWidth="1"/>
    <col min="9" max="9" width="14.5703125" customWidth="1"/>
  </cols>
  <sheetData>
    <row r="1" spans="1:27">
      <c r="A1" s="11" t="s">
        <v>11</v>
      </c>
      <c r="B1" s="386" t="s">
        <v>12</v>
      </c>
      <c r="C1" s="11" t="s">
        <v>3</v>
      </c>
      <c r="D1" s="11" t="s">
        <v>13</v>
      </c>
      <c r="E1" s="11" t="s">
        <v>4</v>
      </c>
      <c r="F1" s="12"/>
      <c r="G1" s="12"/>
      <c r="H1" s="12"/>
      <c r="I1" s="12"/>
      <c r="J1" s="12"/>
      <c r="K1" s="12"/>
      <c r="L1" s="12"/>
      <c r="M1" s="12"/>
      <c r="N1" s="12"/>
      <c r="O1" s="12"/>
      <c r="P1" s="12"/>
      <c r="Q1" s="12"/>
      <c r="R1" s="12"/>
      <c r="S1" s="12"/>
      <c r="T1" s="12"/>
      <c r="U1" s="12"/>
      <c r="V1" s="12"/>
      <c r="W1" s="12"/>
      <c r="X1" s="12"/>
      <c r="Y1" s="12"/>
      <c r="Z1" s="12"/>
      <c r="AA1" s="12"/>
    </row>
    <row r="2" spans="1:27" ht="15.75" customHeight="1">
      <c r="A2" s="13">
        <v>1</v>
      </c>
      <c r="B2" s="387" t="s">
        <v>14</v>
      </c>
      <c r="C2" s="15">
        <v>11</v>
      </c>
      <c r="D2" s="15">
        <v>30</v>
      </c>
      <c r="E2" s="15">
        <f t="shared" ref="E2:E11" si="0">D2*C2</f>
        <v>330</v>
      </c>
      <c r="F2" s="16"/>
      <c r="G2" s="424"/>
      <c r="H2" s="10"/>
      <c r="I2" s="12"/>
      <c r="J2" s="12"/>
      <c r="K2" s="12"/>
      <c r="L2" s="12"/>
      <c r="M2" s="12"/>
      <c r="N2" s="12"/>
      <c r="O2" s="12"/>
      <c r="P2" s="12"/>
      <c r="Q2" s="12"/>
      <c r="R2" s="12"/>
      <c r="S2" s="12"/>
      <c r="T2" s="12"/>
      <c r="U2" s="12"/>
      <c r="V2" s="12"/>
      <c r="W2" s="12"/>
      <c r="X2" s="12"/>
      <c r="Y2" s="12"/>
      <c r="Z2" s="12"/>
      <c r="AA2" s="12"/>
    </row>
    <row r="3" spans="1:27" ht="15.75" customHeight="1">
      <c r="A3" s="13">
        <v>2</v>
      </c>
      <c r="B3" s="387" t="s">
        <v>15</v>
      </c>
      <c r="C3" s="17">
        <v>59</v>
      </c>
      <c r="D3" s="17">
        <v>25</v>
      </c>
      <c r="E3" s="17">
        <f t="shared" si="0"/>
        <v>1475</v>
      </c>
      <c r="F3" s="16"/>
      <c r="G3" s="424"/>
      <c r="H3" s="425"/>
      <c r="I3" s="425"/>
      <c r="J3" s="425"/>
      <c r="K3" s="425"/>
      <c r="L3" s="425"/>
      <c r="M3" s="425"/>
      <c r="N3" s="12"/>
      <c r="O3" s="12"/>
      <c r="P3" s="12"/>
      <c r="Q3" s="12"/>
      <c r="R3" s="12"/>
      <c r="S3" s="12"/>
      <c r="T3" s="12"/>
      <c r="U3" s="12"/>
      <c r="V3" s="12"/>
      <c r="W3" s="12"/>
      <c r="X3" s="12"/>
      <c r="Y3" s="12"/>
      <c r="Z3" s="12"/>
      <c r="AA3" s="12"/>
    </row>
    <row r="4" spans="1:27" ht="15.75" customHeight="1">
      <c r="A4" s="13">
        <v>3</v>
      </c>
      <c r="B4" s="387" t="s">
        <v>16</v>
      </c>
      <c r="C4" s="14"/>
      <c r="D4" s="17">
        <v>25</v>
      </c>
      <c r="E4" s="17">
        <f t="shared" si="0"/>
        <v>0</v>
      </c>
      <c r="F4" s="12"/>
      <c r="G4" s="424"/>
      <c r="H4" s="425"/>
      <c r="I4" s="425"/>
      <c r="J4" s="425"/>
      <c r="K4" s="425"/>
      <c r="L4" s="425"/>
      <c r="M4" s="425"/>
      <c r="N4" s="12"/>
      <c r="O4" s="12"/>
      <c r="P4" s="12"/>
      <c r="Q4" s="12"/>
      <c r="R4" s="12"/>
      <c r="S4" s="12"/>
      <c r="T4" s="12"/>
      <c r="U4" s="12"/>
      <c r="V4" s="12"/>
      <c r="W4" s="12"/>
      <c r="X4" s="12"/>
      <c r="Y4" s="12"/>
      <c r="Z4" s="12"/>
      <c r="AA4" s="12"/>
    </row>
    <row r="5" spans="1:27">
      <c r="A5" s="13">
        <v>4</v>
      </c>
      <c r="B5" s="388" t="s">
        <v>17</v>
      </c>
      <c r="C5" s="19">
        <v>20</v>
      </c>
      <c r="D5" s="19">
        <v>50</v>
      </c>
      <c r="E5" s="19">
        <f t="shared" si="0"/>
        <v>1000</v>
      </c>
      <c r="F5" s="16"/>
      <c r="G5" s="12"/>
      <c r="H5" s="425"/>
      <c r="I5" s="425"/>
      <c r="J5" s="425"/>
      <c r="K5" s="425"/>
      <c r="L5" s="425"/>
      <c r="M5" s="425"/>
      <c r="N5" s="12"/>
      <c r="O5" s="12"/>
      <c r="P5" s="12"/>
      <c r="Q5" s="12"/>
      <c r="R5" s="12"/>
      <c r="S5" s="12"/>
      <c r="T5" s="12"/>
      <c r="U5" s="12"/>
      <c r="V5" s="12"/>
      <c r="W5" s="12"/>
      <c r="X5" s="12"/>
      <c r="Y5" s="12"/>
      <c r="Z5" s="12"/>
      <c r="AA5" s="12"/>
    </row>
    <row r="6" spans="1:27">
      <c r="A6" s="13">
        <v>5</v>
      </c>
      <c r="B6" s="389" t="s">
        <v>18</v>
      </c>
      <c r="C6" s="21">
        <f>178+29-3-5-6-8.5</f>
        <v>184.5</v>
      </c>
      <c r="D6" s="21">
        <v>40</v>
      </c>
      <c r="E6" s="21">
        <f t="shared" si="0"/>
        <v>7380</v>
      </c>
      <c r="F6" s="16"/>
      <c r="G6" s="12"/>
      <c r="H6" s="425"/>
      <c r="I6" s="425"/>
      <c r="J6" s="425"/>
      <c r="K6" s="425"/>
      <c r="L6" s="425"/>
      <c r="M6" s="425"/>
      <c r="N6" s="12"/>
      <c r="O6" s="12"/>
      <c r="P6" s="12"/>
      <c r="Q6" s="12"/>
      <c r="R6" s="12"/>
      <c r="S6" s="12"/>
      <c r="T6" s="12"/>
      <c r="U6" s="12"/>
      <c r="V6" s="12"/>
      <c r="W6" s="12"/>
      <c r="X6" s="12"/>
      <c r="Y6" s="12"/>
      <c r="Z6" s="12"/>
      <c r="AA6" s="12"/>
    </row>
    <row r="7" spans="1:27">
      <c r="A7" s="13">
        <v>6</v>
      </c>
      <c r="B7" s="389" t="s">
        <v>19</v>
      </c>
      <c r="C7" s="22">
        <v>39</v>
      </c>
      <c r="D7" s="22">
        <v>40</v>
      </c>
      <c r="E7" s="22">
        <f t="shared" si="0"/>
        <v>1560</v>
      </c>
      <c r="F7" s="16"/>
      <c r="G7" s="426"/>
      <c r="H7" s="426"/>
      <c r="I7" s="426"/>
      <c r="J7" s="12"/>
      <c r="K7" s="10"/>
      <c r="L7" s="12"/>
      <c r="M7" s="12"/>
      <c r="N7" s="12"/>
      <c r="O7" s="12"/>
      <c r="P7" s="12"/>
      <c r="Q7" s="12"/>
      <c r="R7" s="12"/>
      <c r="S7" s="12"/>
      <c r="T7" s="12"/>
      <c r="U7" s="12"/>
      <c r="V7" s="12"/>
      <c r="W7" s="12"/>
      <c r="X7" s="12"/>
      <c r="Y7" s="12"/>
      <c r="Z7" s="12"/>
      <c r="AA7" s="12"/>
    </row>
    <row r="8" spans="1:27">
      <c r="A8" s="13">
        <v>7</v>
      </c>
      <c r="B8" s="389" t="s">
        <v>350</v>
      </c>
      <c r="C8" s="21">
        <f>40.5-6.5</f>
        <v>34</v>
      </c>
      <c r="D8" s="21">
        <v>40</v>
      </c>
      <c r="E8" s="21">
        <f t="shared" si="0"/>
        <v>1360</v>
      </c>
      <c r="F8" s="12"/>
      <c r="G8" s="12"/>
      <c r="H8" s="12"/>
      <c r="I8" s="12"/>
      <c r="J8" s="12"/>
      <c r="K8" s="10"/>
      <c r="L8" s="12"/>
      <c r="M8" s="12"/>
      <c r="N8" s="12"/>
      <c r="O8" s="12"/>
      <c r="P8" s="12"/>
      <c r="Q8" s="12"/>
      <c r="R8" s="12"/>
      <c r="S8" s="12"/>
      <c r="T8" s="12"/>
      <c r="U8" s="12"/>
      <c r="V8" s="12"/>
      <c r="W8" s="12"/>
      <c r="X8" s="12"/>
      <c r="Y8" s="12"/>
      <c r="Z8" s="12"/>
      <c r="AA8" s="12"/>
    </row>
    <row r="9" spans="1:27">
      <c r="A9" s="13">
        <v>8</v>
      </c>
      <c r="B9" s="390" t="s">
        <v>20</v>
      </c>
      <c r="C9" s="25"/>
      <c r="D9" s="24">
        <v>35</v>
      </c>
      <c r="E9" s="24">
        <f t="shared" si="0"/>
        <v>0</v>
      </c>
      <c r="F9" s="12"/>
      <c r="G9" s="12"/>
      <c r="H9" s="12"/>
      <c r="I9" s="12"/>
      <c r="J9" s="12"/>
      <c r="K9" s="12"/>
      <c r="L9" s="12"/>
      <c r="M9" s="12"/>
      <c r="N9" s="12"/>
      <c r="O9" s="12"/>
      <c r="P9" s="12"/>
      <c r="Q9" s="12"/>
      <c r="R9" s="12"/>
      <c r="S9" s="12"/>
      <c r="T9" s="12"/>
      <c r="U9" s="12"/>
      <c r="V9" s="12"/>
      <c r="W9" s="12"/>
      <c r="X9" s="12"/>
      <c r="Y9" s="12"/>
      <c r="Z9" s="12"/>
      <c r="AA9" s="12"/>
    </row>
    <row r="10" spans="1:27">
      <c r="A10" s="13">
        <v>9</v>
      </c>
      <c r="B10" s="390" t="s">
        <v>20</v>
      </c>
      <c r="C10" s="23"/>
      <c r="D10" s="26">
        <v>35</v>
      </c>
      <c r="E10" s="24">
        <f t="shared" si="0"/>
        <v>0</v>
      </c>
      <c r="F10" s="12"/>
      <c r="G10" s="12"/>
      <c r="H10" s="12"/>
      <c r="I10" s="12"/>
      <c r="J10" s="12"/>
      <c r="K10" s="12"/>
      <c r="L10" s="12"/>
      <c r="M10" s="12"/>
      <c r="N10" s="12"/>
      <c r="O10" s="12"/>
      <c r="P10" s="12"/>
      <c r="Q10" s="12"/>
      <c r="R10" s="12"/>
      <c r="S10" s="12"/>
      <c r="T10" s="12"/>
      <c r="U10" s="12"/>
      <c r="V10" s="12"/>
      <c r="W10" s="12"/>
      <c r="X10" s="12"/>
      <c r="Y10" s="12"/>
      <c r="Z10" s="12"/>
      <c r="AA10" s="12"/>
    </row>
    <row r="11" spans="1:27">
      <c r="A11" s="50">
        <v>10</v>
      </c>
      <c r="B11" s="427" t="s">
        <v>21</v>
      </c>
      <c r="C11" s="25"/>
      <c r="D11" s="24">
        <v>25</v>
      </c>
      <c r="E11" s="24">
        <f t="shared" si="0"/>
        <v>0</v>
      </c>
      <c r="F11" s="12"/>
      <c r="G11" s="12"/>
      <c r="H11" s="12"/>
      <c r="I11" s="12"/>
      <c r="J11" s="12"/>
      <c r="K11" s="12"/>
      <c r="L11" s="12"/>
      <c r="M11" s="12"/>
      <c r="N11" s="12"/>
      <c r="O11" s="12"/>
      <c r="P11" s="12"/>
      <c r="Q11" s="12"/>
      <c r="R11" s="12"/>
      <c r="S11" s="12"/>
      <c r="T11" s="12"/>
      <c r="U11" s="12"/>
      <c r="V11" s="12"/>
      <c r="W11" s="12"/>
      <c r="X11" s="12"/>
      <c r="Y11" s="12"/>
      <c r="Z11" s="12"/>
      <c r="AA11" s="12"/>
    </row>
    <row r="12" spans="1:27">
      <c r="A12" s="474"/>
      <c r="B12" s="475"/>
      <c r="C12" s="475"/>
      <c r="D12" s="476"/>
      <c r="E12" s="27">
        <f>SUM(E2:E11)</f>
        <v>13105</v>
      </c>
      <c r="F12" s="12"/>
      <c r="G12" s="12"/>
      <c r="H12" s="12"/>
      <c r="I12" s="12"/>
      <c r="J12" s="12"/>
      <c r="K12" s="12"/>
      <c r="L12" s="12"/>
      <c r="M12" s="12"/>
      <c r="N12" s="12"/>
      <c r="O12" s="12"/>
      <c r="P12" s="12"/>
      <c r="Q12" s="12"/>
      <c r="R12" s="12"/>
      <c r="S12" s="12"/>
      <c r="T12" s="12"/>
      <c r="U12" s="12"/>
      <c r="V12" s="12"/>
      <c r="W12" s="12"/>
      <c r="X12" s="12"/>
      <c r="Y12" s="12"/>
      <c r="Z12" s="12"/>
      <c r="AA12" s="12"/>
    </row>
    <row r="13" spans="1:27">
      <c r="A13" s="12"/>
      <c r="B13" s="12"/>
      <c r="C13" s="16"/>
      <c r="D13" s="16"/>
      <c r="E13" s="16"/>
      <c r="F13" s="16"/>
      <c r="G13" s="16"/>
      <c r="H13" s="16"/>
      <c r="I13" s="16"/>
      <c r="J13" s="12"/>
      <c r="K13" s="12"/>
      <c r="L13" s="12"/>
      <c r="M13" s="12"/>
      <c r="N13" s="12"/>
      <c r="O13" s="12"/>
      <c r="P13" s="12"/>
      <c r="Q13" s="12"/>
      <c r="R13" s="12"/>
      <c r="S13" s="12"/>
      <c r="T13" s="12"/>
      <c r="U13" s="12"/>
      <c r="V13" s="12"/>
      <c r="W13" s="12"/>
      <c r="X13" s="12"/>
      <c r="Y13" s="12"/>
      <c r="Z13" s="12"/>
      <c r="AA13" s="12"/>
    </row>
    <row r="14" spans="1:27">
      <c r="A14" s="477"/>
      <c r="B14" s="478"/>
      <c r="C14" s="479" t="s">
        <v>22</v>
      </c>
      <c r="D14" s="480"/>
      <c r="E14" s="480"/>
      <c r="F14" s="480"/>
      <c r="G14" s="480"/>
      <c r="H14" s="480"/>
      <c r="I14" s="478"/>
      <c r="J14" s="481" t="s">
        <v>5</v>
      </c>
      <c r="K14" s="483" t="s">
        <v>23</v>
      </c>
      <c r="L14" s="480"/>
      <c r="M14" s="480"/>
      <c r="N14" s="480"/>
      <c r="O14" s="480"/>
      <c r="P14" s="480"/>
      <c r="Q14" s="478"/>
      <c r="R14" s="12"/>
      <c r="S14" s="12"/>
      <c r="T14" s="12"/>
      <c r="U14" s="12"/>
      <c r="V14" s="12"/>
      <c r="W14" s="12"/>
      <c r="X14" s="12"/>
      <c r="Y14" s="12"/>
      <c r="Z14" s="12"/>
      <c r="AA14" s="12"/>
    </row>
    <row r="15" spans="1:27">
      <c r="A15" s="428" t="s">
        <v>11</v>
      </c>
      <c r="B15" s="28" t="s">
        <v>0</v>
      </c>
      <c r="C15" s="28" t="s">
        <v>24</v>
      </c>
      <c r="D15" s="29" t="s">
        <v>25</v>
      </c>
      <c r="E15" s="28" t="s">
        <v>26</v>
      </c>
      <c r="F15" s="28" t="s">
        <v>27</v>
      </c>
      <c r="G15" s="28" t="s">
        <v>28</v>
      </c>
      <c r="H15" s="28" t="s">
        <v>21</v>
      </c>
      <c r="I15" s="30" t="s">
        <v>29</v>
      </c>
      <c r="J15" s="482"/>
      <c r="K15" s="31" t="s">
        <v>24</v>
      </c>
      <c r="L15" s="31" t="s">
        <v>25</v>
      </c>
      <c r="M15" s="31" t="s">
        <v>26</v>
      </c>
      <c r="N15" s="31" t="s">
        <v>27</v>
      </c>
      <c r="O15" s="31" t="s">
        <v>28</v>
      </c>
      <c r="P15" s="31" t="s">
        <v>21</v>
      </c>
      <c r="Q15" s="32" t="s">
        <v>30</v>
      </c>
      <c r="R15" s="12"/>
      <c r="S15" s="12"/>
      <c r="T15" s="12"/>
      <c r="U15" s="12"/>
      <c r="V15" s="12"/>
      <c r="W15" s="12"/>
      <c r="X15" s="12"/>
      <c r="Y15" s="12"/>
      <c r="Z15" s="12"/>
      <c r="AA15" s="12"/>
    </row>
    <row r="16" spans="1:27">
      <c r="A16" s="429">
        <v>1</v>
      </c>
      <c r="B16" s="147" t="s">
        <v>605</v>
      </c>
      <c r="C16" s="394"/>
      <c r="D16" s="394"/>
      <c r="E16" s="394"/>
      <c r="F16" s="394"/>
      <c r="G16" s="394"/>
      <c r="H16" s="394"/>
      <c r="I16" s="394"/>
      <c r="J16" s="383"/>
      <c r="K16" s="34"/>
      <c r="L16" s="34"/>
      <c r="M16" s="34"/>
      <c r="N16" s="34"/>
      <c r="O16" s="34"/>
      <c r="P16" s="34"/>
      <c r="Q16" s="397">
        <f t="shared" ref="Q16:Q22" si="1">K16*25+L16*30+M16*50+N16*40+O16*35+P16*25</f>
        <v>0</v>
      </c>
      <c r="R16" s="12"/>
      <c r="S16" s="12"/>
      <c r="T16" s="12"/>
      <c r="U16" s="12"/>
      <c r="V16" s="12"/>
      <c r="W16" s="12"/>
      <c r="X16" s="12"/>
      <c r="Y16" s="12"/>
      <c r="Z16" s="12"/>
      <c r="AA16" s="12"/>
    </row>
    <row r="17" spans="1:27">
      <c r="A17" s="392" t="s">
        <v>32</v>
      </c>
      <c r="B17" s="42" t="s">
        <v>700</v>
      </c>
      <c r="C17" s="394"/>
      <c r="D17" s="394"/>
      <c r="E17" s="394"/>
      <c r="F17" s="399">
        <v>12.5</v>
      </c>
      <c r="G17" s="394"/>
      <c r="H17" s="394"/>
      <c r="I17" s="385">
        <f t="shared" ref="I17:I21" si="2">C17*25+D17*30+E17*50+F17*40+G17*35+H17*25</f>
        <v>500</v>
      </c>
      <c r="J17" s="430" t="s">
        <v>31</v>
      </c>
      <c r="K17" s="34"/>
      <c r="L17" s="34"/>
      <c r="M17" s="34"/>
      <c r="N17" s="33">
        <v>8</v>
      </c>
      <c r="O17" s="34"/>
      <c r="P17" s="34"/>
      <c r="Q17" s="397">
        <f t="shared" si="1"/>
        <v>320</v>
      </c>
      <c r="R17" s="12"/>
      <c r="S17" s="12"/>
      <c r="T17" s="12"/>
      <c r="U17" s="12"/>
      <c r="V17" s="12"/>
      <c r="W17" s="12"/>
      <c r="X17" s="12"/>
      <c r="Y17" s="12"/>
      <c r="Z17" s="12"/>
      <c r="AA17" s="12"/>
    </row>
    <row r="18" spans="1:27">
      <c r="A18" s="392" t="s">
        <v>32</v>
      </c>
      <c r="B18" s="42" t="s">
        <v>701</v>
      </c>
      <c r="C18" s="394"/>
      <c r="D18" s="394"/>
      <c r="E18" s="399">
        <v>1.5</v>
      </c>
      <c r="F18" s="399">
        <v>23</v>
      </c>
      <c r="G18" s="394"/>
      <c r="H18" s="394"/>
      <c r="I18" s="385">
        <f t="shared" si="2"/>
        <v>995</v>
      </c>
      <c r="J18" s="430" t="s">
        <v>31</v>
      </c>
      <c r="K18" s="34"/>
      <c r="L18" s="34"/>
      <c r="M18" s="33">
        <v>3</v>
      </c>
      <c r="N18" s="33">
        <v>30</v>
      </c>
      <c r="O18" s="34"/>
      <c r="P18" s="34"/>
      <c r="Q18" s="397">
        <f t="shared" si="1"/>
        <v>1350</v>
      </c>
      <c r="R18" s="12"/>
      <c r="S18" s="12"/>
      <c r="T18" s="12"/>
      <c r="U18" s="12"/>
      <c r="V18" s="12"/>
      <c r="W18" s="12"/>
      <c r="X18" s="12"/>
      <c r="Y18" s="12"/>
      <c r="Z18" s="12"/>
      <c r="AA18" s="12"/>
    </row>
    <row r="19" spans="1:27">
      <c r="A19" s="392" t="s">
        <v>32</v>
      </c>
      <c r="B19" s="42" t="s">
        <v>702</v>
      </c>
      <c r="C19" s="394"/>
      <c r="D19" s="399">
        <v>4</v>
      </c>
      <c r="E19" s="399">
        <v>5</v>
      </c>
      <c r="F19" s="35">
        <v>32</v>
      </c>
      <c r="G19" s="394"/>
      <c r="H19" s="394"/>
      <c r="I19" s="385">
        <f t="shared" si="2"/>
        <v>1650</v>
      </c>
      <c r="J19" s="430" t="s">
        <v>31</v>
      </c>
      <c r="K19" s="34"/>
      <c r="L19" s="33">
        <v>5</v>
      </c>
      <c r="M19" s="33">
        <v>5</v>
      </c>
      <c r="N19" s="33">
        <v>45</v>
      </c>
      <c r="O19" s="34"/>
      <c r="P19" s="34"/>
      <c r="Q19" s="397">
        <f t="shared" si="1"/>
        <v>2200</v>
      </c>
      <c r="R19" s="12"/>
      <c r="S19" s="12"/>
      <c r="T19" s="12"/>
      <c r="U19" s="12"/>
      <c r="V19" s="12"/>
      <c r="W19" s="12"/>
      <c r="X19" s="12"/>
      <c r="Y19" s="12"/>
      <c r="Z19" s="12"/>
      <c r="AA19" s="12"/>
    </row>
    <row r="20" spans="1:27">
      <c r="A20" s="373" t="s">
        <v>32</v>
      </c>
      <c r="B20" s="42" t="s">
        <v>703</v>
      </c>
      <c r="C20" s="394"/>
      <c r="D20" s="399">
        <v>3</v>
      </c>
      <c r="E20" s="399">
        <v>5</v>
      </c>
      <c r="F20" s="399">
        <v>38</v>
      </c>
      <c r="G20" s="394"/>
      <c r="H20" s="394"/>
      <c r="I20" s="385">
        <f t="shared" si="2"/>
        <v>1860</v>
      </c>
      <c r="J20" s="430" t="s">
        <v>31</v>
      </c>
      <c r="K20" s="34"/>
      <c r="L20" s="33">
        <v>5</v>
      </c>
      <c r="M20" s="33">
        <v>5</v>
      </c>
      <c r="N20" s="33">
        <v>45</v>
      </c>
      <c r="O20" s="34"/>
      <c r="P20" s="34"/>
      <c r="Q20" s="397">
        <f t="shared" si="1"/>
        <v>2200</v>
      </c>
      <c r="R20" s="12"/>
      <c r="S20" s="12"/>
      <c r="T20" s="12"/>
      <c r="U20" s="12"/>
      <c r="V20" s="12"/>
      <c r="W20" s="12"/>
      <c r="X20" s="12"/>
      <c r="Y20" s="12"/>
      <c r="Z20" s="12"/>
      <c r="AA20" s="12"/>
    </row>
    <row r="21" spans="1:27">
      <c r="A21" s="402" t="s">
        <v>32</v>
      </c>
      <c r="B21" s="298" t="s">
        <v>704</v>
      </c>
      <c r="C21" s="394"/>
      <c r="D21" s="394"/>
      <c r="E21" s="399">
        <v>2</v>
      </c>
      <c r="F21" s="35">
        <v>23</v>
      </c>
      <c r="G21" s="394"/>
      <c r="H21" s="394"/>
      <c r="I21" s="385">
        <f t="shared" si="2"/>
        <v>1020</v>
      </c>
      <c r="J21" s="430" t="s">
        <v>31</v>
      </c>
      <c r="K21" s="34"/>
      <c r="L21" s="34"/>
      <c r="M21" s="33">
        <v>2</v>
      </c>
      <c r="N21" s="33">
        <v>24</v>
      </c>
      <c r="O21" s="34"/>
      <c r="P21" s="34"/>
      <c r="Q21" s="397">
        <f t="shared" si="1"/>
        <v>1060</v>
      </c>
      <c r="R21" s="12"/>
      <c r="S21" s="12"/>
      <c r="T21" s="12"/>
      <c r="U21" s="12"/>
      <c r="V21" s="12"/>
      <c r="W21" s="12"/>
      <c r="X21" s="12"/>
      <c r="Y21" s="12"/>
      <c r="Z21" s="12"/>
      <c r="AA21" s="12"/>
    </row>
    <row r="22" spans="1:27">
      <c r="A22" s="392">
        <v>45658</v>
      </c>
      <c r="B22" s="282" t="s">
        <v>705</v>
      </c>
      <c r="C22" s="394"/>
      <c r="D22" s="394"/>
      <c r="E22" s="394"/>
      <c r="F22" s="394"/>
      <c r="G22" s="394"/>
      <c r="H22" s="431"/>
      <c r="I22" s="394"/>
      <c r="J22" s="383"/>
      <c r="K22" s="34"/>
      <c r="L22" s="34"/>
      <c r="M22" s="34"/>
      <c r="N22" s="33">
        <v>25</v>
      </c>
      <c r="O22" s="34"/>
      <c r="P22" s="34"/>
      <c r="Q22" s="397">
        <f t="shared" si="1"/>
        <v>1000</v>
      </c>
      <c r="R22" s="12"/>
      <c r="S22" s="12"/>
      <c r="T22" s="12"/>
      <c r="U22" s="12"/>
      <c r="V22" s="12"/>
      <c r="W22" s="12"/>
      <c r="X22" s="12"/>
      <c r="Y22" s="12"/>
      <c r="Z22" s="12"/>
      <c r="AA22" s="12"/>
    </row>
    <row r="23" spans="1:27">
      <c r="A23" s="402" t="s">
        <v>32</v>
      </c>
      <c r="B23" s="298" t="s">
        <v>706</v>
      </c>
      <c r="C23" s="394"/>
      <c r="D23" s="394"/>
      <c r="E23" s="394"/>
      <c r="F23" s="399">
        <v>7</v>
      </c>
      <c r="G23" s="394"/>
      <c r="H23" s="394"/>
      <c r="I23" s="385">
        <f t="shared" ref="I23:I55" si="3">C23*25+D23*30+E23*50+F23*40+G23*35+H23*25</f>
        <v>280</v>
      </c>
      <c r="J23" s="430" t="s">
        <v>31</v>
      </c>
      <c r="K23" s="484"/>
      <c r="L23" s="485"/>
      <c r="M23" s="485"/>
      <c r="N23" s="485"/>
      <c r="O23" s="485"/>
      <c r="P23" s="485"/>
      <c r="Q23" s="486"/>
      <c r="R23" s="12"/>
      <c r="S23" s="12"/>
      <c r="T23" s="12"/>
      <c r="U23" s="12"/>
      <c r="V23" s="12"/>
      <c r="W23" s="12"/>
      <c r="X23" s="12"/>
      <c r="Y23" s="12"/>
      <c r="Z23" s="12"/>
      <c r="AA23" s="12"/>
    </row>
    <row r="24" spans="1:27">
      <c r="A24" s="402" t="s">
        <v>32</v>
      </c>
      <c r="B24" s="298" t="s">
        <v>707</v>
      </c>
      <c r="C24" s="394"/>
      <c r="D24" s="394"/>
      <c r="E24" s="399">
        <v>3</v>
      </c>
      <c r="F24" s="399">
        <v>17</v>
      </c>
      <c r="G24" s="394"/>
      <c r="H24" s="394"/>
      <c r="I24" s="385">
        <f t="shared" si="3"/>
        <v>830</v>
      </c>
      <c r="J24" s="430" t="s">
        <v>31</v>
      </c>
      <c r="K24" s="487"/>
      <c r="L24" s="488"/>
      <c r="M24" s="488"/>
      <c r="N24" s="488"/>
      <c r="O24" s="488"/>
      <c r="P24" s="488"/>
      <c r="Q24" s="489"/>
      <c r="R24" s="12"/>
      <c r="S24" s="12"/>
      <c r="T24" s="12"/>
      <c r="U24" s="12"/>
      <c r="V24" s="12"/>
      <c r="W24" s="12"/>
      <c r="X24" s="12"/>
      <c r="Y24" s="12"/>
      <c r="Z24" s="12"/>
      <c r="AA24" s="12"/>
    </row>
    <row r="25" spans="1:27">
      <c r="A25" s="402" t="s">
        <v>32</v>
      </c>
      <c r="B25" s="298" t="s">
        <v>708</v>
      </c>
      <c r="C25" s="394"/>
      <c r="D25" s="394"/>
      <c r="E25" s="399">
        <v>0.5</v>
      </c>
      <c r="F25" s="399">
        <v>8</v>
      </c>
      <c r="G25" s="394"/>
      <c r="H25" s="394"/>
      <c r="I25" s="385">
        <f t="shared" si="3"/>
        <v>345</v>
      </c>
      <c r="J25" s="430" t="s">
        <v>31</v>
      </c>
      <c r="K25" s="487"/>
      <c r="L25" s="488"/>
      <c r="M25" s="488"/>
      <c r="N25" s="488"/>
      <c r="O25" s="488"/>
      <c r="P25" s="488"/>
      <c r="Q25" s="489"/>
      <c r="R25" s="12"/>
      <c r="S25" s="12"/>
      <c r="T25" s="12"/>
      <c r="U25" s="12"/>
      <c r="V25" s="12"/>
      <c r="W25" s="12"/>
      <c r="X25" s="12"/>
      <c r="Y25" s="12"/>
      <c r="Z25" s="12"/>
      <c r="AA25" s="12"/>
    </row>
    <row r="26" spans="1:27">
      <c r="A26" s="373" t="s">
        <v>32</v>
      </c>
      <c r="B26" s="42" t="s">
        <v>709</v>
      </c>
      <c r="C26" s="394"/>
      <c r="D26" s="394"/>
      <c r="E26" s="399">
        <v>2</v>
      </c>
      <c r="F26" s="399">
        <v>10</v>
      </c>
      <c r="G26" s="394"/>
      <c r="H26" s="394"/>
      <c r="I26" s="385">
        <f t="shared" si="3"/>
        <v>500</v>
      </c>
      <c r="J26" s="430" t="s">
        <v>31</v>
      </c>
      <c r="K26" s="487"/>
      <c r="L26" s="488"/>
      <c r="M26" s="488"/>
      <c r="N26" s="488"/>
      <c r="O26" s="488"/>
      <c r="P26" s="488"/>
      <c r="Q26" s="489"/>
      <c r="R26" s="12"/>
      <c r="S26" s="12"/>
      <c r="T26" s="12"/>
      <c r="U26" s="12"/>
      <c r="V26" s="12"/>
      <c r="W26" s="12"/>
      <c r="X26" s="12"/>
      <c r="Y26" s="12"/>
      <c r="Z26" s="12"/>
      <c r="AA26" s="12"/>
    </row>
    <row r="27" spans="1:27">
      <c r="A27" s="373" t="s">
        <v>32</v>
      </c>
      <c r="B27" s="42" t="s">
        <v>710</v>
      </c>
      <c r="C27" s="394"/>
      <c r="D27" s="394"/>
      <c r="E27" s="394"/>
      <c r="F27" s="399">
        <v>3</v>
      </c>
      <c r="G27" s="394"/>
      <c r="H27" s="394"/>
      <c r="I27" s="385">
        <f t="shared" si="3"/>
        <v>120</v>
      </c>
      <c r="J27" s="430" t="s">
        <v>31</v>
      </c>
      <c r="K27" s="487"/>
      <c r="L27" s="488"/>
      <c r="M27" s="488"/>
      <c r="N27" s="488"/>
      <c r="O27" s="488"/>
      <c r="P27" s="488"/>
      <c r="Q27" s="489"/>
      <c r="R27" s="12"/>
      <c r="S27" s="12"/>
      <c r="T27" s="12"/>
      <c r="U27" s="12"/>
      <c r="V27" s="12"/>
      <c r="W27" s="12"/>
      <c r="X27" s="12"/>
      <c r="Y27" s="12"/>
      <c r="Z27" s="12"/>
      <c r="AA27" s="12"/>
    </row>
    <row r="28" spans="1:27">
      <c r="A28" s="373" t="s">
        <v>32</v>
      </c>
      <c r="B28" s="42" t="s">
        <v>711</v>
      </c>
      <c r="C28" s="394"/>
      <c r="D28" s="394"/>
      <c r="E28" s="394"/>
      <c r="F28" s="399">
        <v>1.5</v>
      </c>
      <c r="G28" s="394"/>
      <c r="H28" s="394"/>
      <c r="I28" s="385">
        <f t="shared" si="3"/>
        <v>60</v>
      </c>
      <c r="J28" s="430" t="s">
        <v>31</v>
      </c>
      <c r="K28" s="487"/>
      <c r="L28" s="488"/>
      <c r="M28" s="488"/>
      <c r="N28" s="488"/>
      <c r="O28" s="488"/>
      <c r="P28" s="488"/>
      <c r="Q28" s="489"/>
      <c r="R28" s="12"/>
      <c r="S28" s="12"/>
      <c r="T28" s="12"/>
      <c r="U28" s="12"/>
      <c r="V28" s="12"/>
      <c r="W28" s="12"/>
      <c r="X28" s="12"/>
      <c r="Y28" s="12"/>
      <c r="Z28" s="12"/>
      <c r="AA28" s="12"/>
    </row>
    <row r="29" spans="1:27">
      <c r="A29" s="373" t="s">
        <v>32</v>
      </c>
      <c r="B29" s="42" t="s">
        <v>712</v>
      </c>
      <c r="C29" s="394"/>
      <c r="D29" s="394"/>
      <c r="E29" s="394"/>
      <c r="F29" s="399">
        <v>1</v>
      </c>
      <c r="G29" s="394"/>
      <c r="H29" s="394"/>
      <c r="I29" s="385">
        <f t="shared" si="3"/>
        <v>40</v>
      </c>
      <c r="J29" s="430" t="s">
        <v>31</v>
      </c>
      <c r="K29" s="487"/>
      <c r="L29" s="488"/>
      <c r="M29" s="488"/>
      <c r="N29" s="488"/>
      <c r="O29" s="488"/>
      <c r="P29" s="488"/>
      <c r="Q29" s="489"/>
      <c r="R29" s="12"/>
      <c r="S29" s="12"/>
      <c r="T29" s="12"/>
      <c r="U29" s="12"/>
      <c r="V29" s="12"/>
      <c r="W29" s="12"/>
      <c r="X29" s="12"/>
      <c r="Y29" s="12"/>
      <c r="Z29" s="12"/>
      <c r="AA29" s="12"/>
    </row>
    <row r="30" spans="1:27">
      <c r="A30" s="373" t="s">
        <v>32</v>
      </c>
      <c r="B30" s="42" t="s">
        <v>713</v>
      </c>
      <c r="C30" s="394"/>
      <c r="D30" s="394"/>
      <c r="E30" s="394"/>
      <c r="F30" s="399">
        <v>1</v>
      </c>
      <c r="G30" s="394"/>
      <c r="H30" s="394"/>
      <c r="I30" s="385">
        <f t="shared" si="3"/>
        <v>40</v>
      </c>
      <c r="J30" s="430" t="s">
        <v>31</v>
      </c>
      <c r="K30" s="487"/>
      <c r="L30" s="488"/>
      <c r="M30" s="488"/>
      <c r="N30" s="488"/>
      <c r="O30" s="488"/>
      <c r="P30" s="488"/>
      <c r="Q30" s="489"/>
      <c r="R30" s="12"/>
      <c r="S30" s="12"/>
      <c r="T30" s="12"/>
      <c r="U30" s="12"/>
      <c r="V30" s="12"/>
      <c r="W30" s="12"/>
      <c r="X30" s="12"/>
      <c r="Y30" s="12"/>
      <c r="Z30" s="12"/>
      <c r="AA30" s="12"/>
    </row>
    <row r="31" spans="1:27">
      <c r="A31" s="373" t="s">
        <v>32</v>
      </c>
      <c r="B31" s="42" t="s">
        <v>714</v>
      </c>
      <c r="C31" s="394"/>
      <c r="D31" s="394"/>
      <c r="E31" s="394"/>
      <c r="F31" s="399">
        <v>1</v>
      </c>
      <c r="G31" s="394"/>
      <c r="H31" s="394"/>
      <c r="I31" s="385">
        <f t="shared" si="3"/>
        <v>40</v>
      </c>
      <c r="J31" s="430" t="s">
        <v>31</v>
      </c>
      <c r="K31" s="490"/>
      <c r="L31" s="491"/>
      <c r="M31" s="491"/>
      <c r="N31" s="491"/>
      <c r="O31" s="491"/>
      <c r="P31" s="491"/>
      <c r="Q31" s="492"/>
      <c r="R31" s="12"/>
      <c r="S31" s="12"/>
      <c r="T31" s="12"/>
      <c r="U31" s="12"/>
      <c r="V31" s="12"/>
      <c r="W31" s="12"/>
      <c r="X31" s="12"/>
      <c r="Y31" s="12"/>
      <c r="Z31" s="12"/>
      <c r="AA31" s="12"/>
    </row>
    <row r="32" spans="1:27">
      <c r="A32" s="373">
        <v>2</v>
      </c>
      <c r="B32" s="147" t="s">
        <v>715</v>
      </c>
      <c r="C32" s="399">
        <v>11</v>
      </c>
      <c r="D32" s="399">
        <v>2</v>
      </c>
      <c r="E32" s="394"/>
      <c r="F32" s="394"/>
      <c r="G32" s="394"/>
      <c r="H32" s="394"/>
      <c r="I32" s="385">
        <f t="shared" si="3"/>
        <v>335</v>
      </c>
      <c r="J32" s="430" t="s">
        <v>31</v>
      </c>
      <c r="K32" s="34"/>
      <c r="L32" s="34"/>
      <c r="M32" s="34"/>
      <c r="N32" s="33">
        <v>12</v>
      </c>
      <c r="O32" s="33">
        <v>12</v>
      </c>
      <c r="P32" s="34"/>
      <c r="Q32" s="397">
        <f>K32*25+L32*30+M32*50+N32*40+O32*35+P32*25</f>
        <v>900</v>
      </c>
      <c r="R32" s="12"/>
      <c r="S32" s="12"/>
      <c r="T32" s="12"/>
      <c r="U32" s="12"/>
      <c r="V32" s="12"/>
      <c r="W32" s="12"/>
      <c r="X32" s="12"/>
      <c r="Y32" s="12"/>
      <c r="Z32" s="12"/>
      <c r="AA32" s="12"/>
    </row>
    <row r="33" spans="1:27">
      <c r="A33" s="373" t="s">
        <v>32</v>
      </c>
      <c r="B33" s="42" t="s">
        <v>716</v>
      </c>
      <c r="C33" s="394"/>
      <c r="D33" s="394"/>
      <c r="E33" s="394"/>
      <c r="F33" s="373">
        <v>11</v>
      </c>
      <c r="G33" s="383"/>
      <c r="H33" s="383"/>
      <c r="I33" s="385">
        <f t="shared" si="3"/>
        <v>440</v>
      </c>
      <c r="J33" s="430" t="s">
        <v>31</v>
      </c>
      <c r="K33" s="383"/>
      <c r="L33" s="383"/>
      <c r="M33" s="383"/>
      <c r="N33" s="383"/>
      <c r="O33" s="383"/>
      <c r="P33" s="383"/>
      <c r="Q33" s="383"/>
      <c r="R33" s="12"/>
      <c r="S33" s="12"/>
      <c r="T33" s="12"/>
      <c r="U33" s="12"/>
      <c r="V33" s="12"/>
      <c r="W33" s="12"/>
      <c r="X33" s="12"/>
      <c r="Y33" s="12"/>
      <c r="Z33" s="12"/>
      <c r="AA33" s="12"/>
    </row>
    <row r="34" spans="1:27">
      <c r="A34" s="373" t="s">
        <v>32</v>
      </c>
      <c r="B34" s="42" t="s">
        <v>717</v>
      </c>
      <c r="C34" s="394"/>
      <c r="D34" s="394"/>
      <c r="E34" s="394"/>
      <c r="F34" s="399">
        <v>10</v>
      </c>
      <c r="G34" s="394"/>
      <c r="H34" s="394"/>
      <c r="I34" s="385">
        <f t="shared" si="3"/>
        <v>400</v>
      </c>
      <c r="J34" s="430" t="s">
        <v>31</v>
      </c>
      <c r="K34" s="484"/>
      <c r="L34" s="485"/>
      <c r="M34" s="485"/>
      <c r="N34" s="485"/>
      <c r="O34" s="485"/>
      <c r="P34" s="485"/>
      <c r="Q34" s="486"/>
      <c r="R34" s="12"/>
      <c r="S34" s="12"/>
      <c r="T34" s="12"/>
      <c r="U34" s="12"/>
      <c r="V34" s="12"/>
      <c r="W34" s="12"/>
      <c r="X34" s="12"/>
      <c r="Y34" s="12"/>
      <c r="Z34" s="12"/>
      <c r="AA34" s="12"/>
    </row>
    <row r="35" spans="1:27">
      <c r="A35" s="373" t="s">
        <v>32</v>
      </c>
      <c r="B35" s="42" t="s">
        <v>718</v>
      </c>
      <c r="C35" s="394"/>
      <c r="D35" s="394"/>
      <c r="E35" s="394"/>
      <c r="F35" s="399">
        <v>1</v>
      </c>
      <c r="G35" s="394"/>
      <c r="H35" s="394"/>
      <c r="I35" s="385">
        <f t="shared" si="3"/>
        <v>40</v>
      </c>
      <c r="J35" s="430" t="s">
        <v>31</v>
      </c>
      <c r="K35" s="487"/>
      <c r="L35" s="488"/>
      <c r="M35" s="488"/>
      <c r="N35" s="488"/>
      <c r="O35" s="488"/>
      <c r="P35" s="488"/>
      <c r="Q35" s="489"/>
      <c r="R35" s="12"/>
      <c r="S35" s="12"/>
      <c r="T35" s="12"/>
      <c r="U35" s="12"/>
      <c r="V35" s="12"/>
      <c r="W35" s="12"/>
      <c r="X35" s="12"/>
      <c r="Y35" s="12"/>
      <c r="Z35" s="12"/>
      <c r="AA35" s="12"/>
    </row>
    <row r="36" spans="1:27">
      <c r="A36" s="373" t="s">
        <v>32</v>
      </c>
      <c r="B36" s="42" t="s">
        <v>719</v>
      </c>
      <c r="C36" s="394"/>
      <c r="D36" s="394"/>
      <c r="E36" s="394"/>
      <c r="F36" s="399">
        <v>1</v>
      </c>
      <c r="G36" s="394"/>
      <c r="H36" s="394"/>
      <c r="I36" s="385">
        <f t="shared" si="3"/>
        <v>40</v>
      </c>
      <c r="J36" s="430" t="s">
        <v>31</v>
      </c>
      <c r="K36" s="487"/>
      <c r="L36" s="488"/>
      <c r="M36" s="488"/>
      <c r="N36" s="488"/>
      <c r="O36" s="488"/>
      <c r="P36" s="488"/>
      <c r="Q36" s="489"/>
      <c r="R36" s="12"/>
      <c r="S36" s="12"/>
      <c r="T36" s="12"/>
      <c r="U36" s="12"/>
      <c r="V36" s="12"/>
      <c r="W36" s="12"/>
      <c r="X36" s="12"/>
      <c r="Y36" s="12"/>
      <c r="Z36" s="12"/>
      <c r="AA36" s="12"/>
    </row>
    <row r="37" spans="1:27">
      <c r="A37" s="373" t="s">
        <v>32</v>
      </c>
      <c r="B37" s="42" t="s">
        <v>720</v>
      </c>
      <c r="C37" s="394"/>
      <c r="D37" s="394"/>
      <c r="E37" s="394"/>
      <c r="F37" s="399">
        <v>1</v>
      </c>
      <c r="G37" s="394"/>
      <c r="H37" s="394"/>
      <c r="I37" s="385">
        <f t="shared" si="3"/>
        <v>40</v>
      </c>
      <c r="J37" s="430" t="s">
        <v>31</v>
      </c>
      <c r="K37" s="487"/>
      <c r="L37" s="488"/>
      <c r="M37" s="488"/>
      <c r="N37" s="488"/>
      <c r="O37" s="488"/>
      <c r="P37" s="488"/>
      <c r="Q37" s="489"/>
      <c r="R37" s="12"/>
      <c r="S37" s="12"/>
      <c r="T37" s="12"/>
      <c r="U37" s="12"/>
      <c r="V37" s="12"/>
      <c r="W37" s="12"/>
      <c r="X37" s="12"/>
      <c r="Y37" s="12"/>
      <c r="Z37" s="12"/>
      <c r="AA37" s="12"/>
    </row>
    <row r="38" spans="1:27" ht="25.5">
      <c r="A38" s="373" t="s">
        <v>32</v>
      </c>
      <c r="B38" s="42" t="s">
        <v>721</v>
      </c>
      <c r="C38" s="394"/>
      <c r="D38" s="394"/>
      <c r="E38" s="394"/>
      <c r="F38" s="399">
        <v>1</v>
      </c>
      <c r="G38" s="394"/>
      <c r="H38" s="394"/>
      <c r="I38" s="385">
        <f t="shared" si="3"/>
        <v>40</v>
      </c>
      <c r="J38" s="430" t="s">
        <v>31</v>
      </c>
      <c r="K38" s="487"/>
      <c r="L38" s="488"/>
      <c r="M38" s="488"/>
      <c r="N38" s="488"/>
      <c r="O38" s="488"/>
      <c r="P38" s="488"/>
      <c r="Q38" s="489"/>
      <c r="R38" s="12"/>
      <c r="S38" s="12"/>
      <c r="T38" s="12"/>
      <c r="U38" s="12"/>
      <c r="V38" s="12"/>
      <c r="W38" s="12"/>
      <c r="X38" s="12"/>
      <c r="Y38" s="12"/>
      <c r="Z38" s="12"/>
      <c r="AA38" s="12"/>
    </row>
    <row r="39" spans="1:27" ht="25.5">
      <c r="A39" s="373" t="s">
        <v>32</v>
      </c>
      <c r="B39" s="42" t="s">
        <v>722</v>
      </c>
      <c r="C39" s="394"/>
      <c r="D39" s="394"/>
      <c r="E39" s="399">
        <v>0.5</v>
      </c>
      <c r="F39" s="399">
        <v>2.5</v>
      </c>
      <c r="G39" s="394"/>
      <c r="H39" s="394"/>
      <c r="I39" s="385">
        <f t="shared" si="3"/>
        <v>125</v>
      </c>
      <c r="J39" s="430" t="s">
        <v>31</v>
      </c>
      <c r="K39" s="487"/>
      <c r="L39" s="488"/>
      <c r="M39" s="488"/>
      <c r="N39" s="488"/>
      <c r="O39" s="488"/>
      <c r="P39" s="488"/>
      <c r="Q39" s="489"/>
      <c r="R39" s="12"/>
      <c r="S39" s="12"/>
      <c r="T39" s="12"/>
      <c r="U39" s="12"/>
      <c r="V39" s="12"/>
      <c r="W39" s="12"/>
      <c r="X39" s="12"/>
      <c r="Y39" s="12"/>
      <c r="Z39" s="12"/>
      <c r="AA39" s="12"/>
    </row>
    <row r="40" spans="1:27" ht="12.75">
      <c r="A40" s="373" t="s">
        <v>32</v>
      </c>
      <c r="B40" s="42" t="s">
        <v>723</v>
      </c>
      <c r="C40" s="394"/>
      <c r="D40" s="394"/>
      <c r="E40" s="394"/>
      <c r="F40" s="399">
        <v>3.5</v>
      </c>
      <c r="G40" s="394"/>
      <c r="H40" s="394"/>
      <c r="I40" s="385">
        <f t="shared" si="3"/>
        <v>140</v>
      </c>
      <c r="J40" s="430" t="s">
        <v>31</v>
      </c>
      <c r="K40" s="487"/>
      <c r="L40" s="488"/>
      <c r="M40" s="488"/>
      <c r="N40" s="488"/>
      <c r="O40" s="488"/>
      <c r="P40" s="488"/>
      <c r="Q40" s="489"/>
      <c r="R40" s="12"/>
      <c r="S40" s="12"/>
      <c r="T40" s="12"/>
      <c r="U40" s="12"/>
      <c r="V40" s="12"/>
      <c r="W40" s="12"/>
      <c r="X40" s="12"/>
      <c r="Y40" s="12"/>
      <c r="Z40" s="12"/>
      <c r="AA40" s="12"/>
    </row>
    <row r="41" spans="1:27" ht="12.75">
      <c r="A41" s="373" t="s">
        <v>32</v>
      </c>
      <c r="B41" s="42" t="s">
        <v>724</v>
      </c>
      <c r="C41" s="394"/>
      <c r="D41" s="394"/>
      <c r="E41" s="394"/>
      <c r="F41" s="399">
        <v>1</v>
      </c>
      <c r="G41" s="394"/>
      <c r="H41" s="394"/>
      <c r="I41" s="385">
        <f t="shared" si="3"/>
        <v>40</v>
      </c>
      <c r="J41" s="430" t="s">
        <v>31</v>
      </c>
      <c r="K41" s="487"/>
      <c r="L41" s="488"/>
      <c r="M41" s="488"/>
      <c r="N41" s="488"/>
      <c r="O41" s="488"/>
      <c r="P41" s="488"/>
      <c r="Q41" s="489"/>
      <c r="R41" s="12"/>
      <c r="S41" s="12"/>
      <c r="T41" s="12"/>
      <c r="U41" s="12"/>
      <c r="V41" s="12"/>
      <c r="W41" s="12"/>
      <c r="X41" s="12"/>
      <c r="Y41" s="12"/>
      <c r="Z41" s="12"/>
      <c r="AA41" s="12"/>
    </row>
    <row r="42" spans="1:27" ht="12.75">
      <c r="A42" s="373" t="s">
        <v>32</v>
      </c>
      <c r="B42" s="42" t="s">
        <v>725</v>
      </c>
      <c r="C42" s="399">
        <v>1</v>
      </c>
      <c r="D42" s="394"/>
      <c r="E42" s="394"/>
      <c r="F42" s="394"/>
      <c r="G42" s="394"/>
      <c r="H42" s="394"/>
      <c r="I42" s="385">
        <f t="shared" si="3"/>
        <v>25</v>
      </c>
      <c r="J42" s="430" t="s">
        <v>31</v>
      </c>
      <c r="K42" s="490"/>
      <c r="L42" s="491"/>
      <c r="M42" s="491"/>
      <c r="N42" s="491"/>
      <c r="O42" s="491"/>
      <c r="P42" s="491"/>
      <c r="Q42" s="492"/>
      <c r="R42" s="12"/>
      <c r="S42" s="12"/>
      <c r="T42" s="12"/>
      <c r="U42" s="12"/>
      <c r="V42" s="12"/>
      <c r="W42" s="12"/>
      <c r="X42" s="12"/>
      <c r="Y42" s="12"/>
      <c r="Z42" s="12"/>
      <c r="AA42" s="12"/>
    </row>
    <row r="43" spans="1:27" ht="12.75">
      <c r="A43" s="373">
        <v>3</v>
      </c>
      <c r="B43" s="147" t="s">
        <v>726</v>
      </c>
      <c r="C43" s="394"/>
      <c r="D43" s="394"/>
      <c r="E43" s="394"/>
      <c r="F43" s="394"/>
      <c r="G43" s="394"/>
      <c r="H43" s="394"/>
      <c r="I43" s="385">
        <f t="shared" si="3"/>
        <v>0</v>
      </c>
      <c r="J43" s="430" t="s">
        <v>31</v>
      </c>
      <c r="K43" s="33">
        <v>50</v>
      </c>
      <c r="L43" s="33">
        <v>10</v>
      </c>
      <c r="M43" s="34"/>
      <c r="N43" s="34"/>
      <c r="O43" s="34"/>
      <c r="P43" s="34"/>
      <c r="Q43" s="397">
        <f>K43*25+L43*30+M43*50+N43*40+O43*35+P43*25</f>
        <v>1550</v>
      </c>
      <c r="R43" s="12"/>
      <c r="S43" s="12"/>
      <c r="T43" s="12"/>
      <c r="U43" s="12"/>
      <c r="V43" s="12"/>
      <c r="W43" s="12"/>
      <c r="X43" s="12"/>
      <c r="Y43" s="12"/>
      <c r="Z43" s="12"/>
      <c r="AA43" s="12"/>
    </row>
    <row r="44" spans="1:27" ht="12.75">
      <c r="A44" s="373" t="s">
        <v>32</v>
      </c>
      <c r="B44" s="42" t="s">
        <v>727</v>
      </c>
      <c r="C44" s="399">
        <v>8</v>
      </c>
      <c r="D44" s="399">
        <v>1</v>
      </c>
      <c r="E44" s="394"/>
      <c r="F44" s="394"/>
      <c r="G44" s="394"/>
      <c r="H44" s="394"/>
      <c r="I44" s="385">
        <f t="shared" si="3"/>
        <v>230</v>
      </c>
      <c r="J44" s="430" t="s">
        <v>31</v>
      </c>
      <c r="K44" s="484"/>
      <c r="L44" s="485"/>
      <c r="M44" s="485"/>
      <c r="N44" s="485"/>
      <c r="O44" s="485"/>
      <c r="P44" s="485"/>
      <c r="Q44" s="486"/>
      <c r="R44" s="12"/>
      <c r="S44" s="12"/>
      <c r="T44" s="12"/>
      <c r="U44" s="12"/>
      <c r="V44" s="12"/>
      <c r="W44" s="12"/>
      <c r="X44" s="12"/>
      <c r="Y44" s="12"/>
      <c r="Z44" s="12"/>
      <c r="AA44" s="12"/>
    </row>
    <row r="45" spans="1:27" ht="12.75">
      <c r="A45" s="373" t="s">
        <v>32</v>
      </c>
      <c r="B45" s="42" t="s">
        <v>728</v>
      </c>
      <c r="C45" s="399">
        <v>4</v>
      </c>
      <c r="D45" s="399">
        <v>0.5</v>
      </c>
      <c r="E45" s="394"/>
      <c r="F45" s="394"/>
      <c r="G45" s="394"/>
      <c r="H45" s="394"/>
      <c r="I45" s="385">
        <f t="shared" si="3"/>
        <v>115</v>
      </c>
      <c r="J45" s="430" t="s">
        <v>31</v>
      </c>
      <c r="K45" s="487"/>
      <c r="L45" s="488"/>
      <c r="M45" s="488"/>
      <c r="N45" s="488"/>
      <c r="O45" s="488"/>
      <c r="P45" s="488"/>
      <c r="Q45" s="489"/>
      <c r="R45" s="12"/>
      <c r="S45" s="12"/>
      <c r="T45" s="12"/>
      <c r="U45" s="12"/>
      <c r="V45" s="12"/>
      <c r="W45" s="12"/>
      <c r="X45" s="12"/>
      <c r="Y45" s="12"/>
      <c r="Z45" s="12"/>
      <c r="AA45" s="12"/>
    </row>
    <row r="46" spans="1:27" ht="25.5">
      <c r="A46" s="373" t="s">
        <v>32</v>
      </c>
      <c r="B46" s="42" t="s">
        <v>729</v>
      </c>
      <c r="C46" s="399">
        <v>6</v>
      </c>
      <c r="D46" s="394"/>
      <c r="E46" s="394"/>
      <c r="F46" s="394"/>
      <c r="G46" s="394"/>
      <c r="H46" s="394"/>
      <c r="I46" s="385">
        <f t="shared" si="3"/>
        <v>150</v>
      </c>
      <c r="J46" s="430" t="s">
        <v>31</v>
      </c>
      <c r="K46" s="487"/>
      <c r="L46" s="488"/>
      <c r="M46" s="488"/>
      <c r="N46" s="488"/>
      <c r="O46" s="488"/>
      <c r="P46" s="488"/>
      <c r="Q46" s="489"/>
      <c r="R46" s="12"/>
      <c r="S46" s="12"/>
      <c r="T46" s="12"/>
      <c r="U46" s="12"/>
      <c r="V46" s="12"/>
      <c r="W46" s="12"/>
      <c r="X46" s="12"/>
      <c r="Y46" s="12"/>
      <c r="Z46" s="12"/>
      <c r="AA46" s="12"/>
    </row>
    <row r="47" spans="1:27" ht="12.75">
      <c r="A47" s="373" t="s">
        <v>32</v>
      </c>
      <c r="B47" s="42" t="s">
        <v>730</v>
      </c>
      <c r="C47" s="399">
        <v>2</v>
      </c>
      <c r="D47" s="399">
        <v>0.5</v>
      </c>
      <c r="E47" s="394"/>
      <c r="F47" s="394"/>
      <c r="G47" s="394"/>
      <c r="H47" s="394"/>
      <c r="I47" s="385">
        <f t="shared" si="3"/>
        <v>65</v>
      </c>
      <c r="J47" s="430" t="s">
        <v>31</v>
      </c>
      <c r="K47" s="487"/>
      <c r="L47" s="488"/>
      <c r="M47" s="488"/>
      <c r="N47" s="488"/>
      <c r="O47" s="488"/>
      <c r="P47" s="488"/>
      <c r="Q47" s="489"/>
      <c r="R47" s="12"/>
      <c r="S47" s="12"/>
      <c r="T47" s="12"/>
      <c r="U47" s="12"/>
      <c r="V47" s="12"/>
      <c r="W47" s="12"/>
      <c r="X47" s="12"/>
      <c r="Y47" s="12"/>
      <c r="Z47" s="12"/>
      <c r="AA47" s="12"/>
    </row>
    <row r="48" spans="1:27" ht="38.25">
      <c r="A48" s="373" t="s">
        <v>32</v>
      </c>
      <c r="B48" s="42" t="s">
        <v>731</v>
      </c>
      <c r="C48" s="399">
        <v>6</v>
      </c>
      <c r="D48" s="394"/>
      <c r="E48" s="394"/>
      <c r="F48" s="394"/>
      <c r="G48" s="394"/>
      <c r="H48" s="394"/>
      <c r="I48" s="385">
        <f t="shared" si="3"/>
        <v>150</v>
      </c>
      <c r="J48" s="430" t="s">
        <v>31</v>
      </c>
      <c r="K48" s="487"/>
      <c r="L48" s="488"/>
      <c r="M48" s="488"/>
      <c r="N48" s="488"/>
      <c r="O48" s="488"/>
      <c r="P48" s="488"/>
      <c r="Q48" s="489"/>
      <c r="R48" s="12"/>
      <c r="S48" s="12"/>
      <c r="T48" s="12"/>
      <c r="U48" s="12"/>
      <c r="V48" s="12"/>
      <c r="W48" s="12"/>
      <c r="X48" s="12"/>
      <c r="Y48" s="12"/>
      <c r="Z48" s="12"/>
      <c r="AA48" s="12"/>
    </row>
    <row r="49" spans="1:27" ht="12.75">
      <c r="A49" s="373" t="s">
        <v>32</v>
      </c>
      <c r="B49" s="42" t="s">
        <v>732</v>
      </c>
      <c r="C49" s="399">
        <v>6</v>
      </c>
      <c r="D49" s="394"/>
      <c r="E49" s="394"/>
      <c r="F49" s="394"/>
      <c r="G49" s="394"/>
      <c r="H49" s="394"/>
      <c r="I49" s="385">
        <f t="shared" si="3"/>
        <v>150</v>
      </c>
      <c r="J49" s="430" t="s">
        <v>31</v>
      </c>
      <c r="K49" s="487"/>
      <c r="L49" s="488"/>
      <c r="M49" s="488"/>
      <c r="N49" s="488"/>
      <c r="O49" s="488"/>
      <c r="P49" s="488"/>
      <c r="Q49" s="489"/>
      <c r="R49" s="12"/>
      <c r="S49" s="12"/>
      <c r="T49" s="12"/>
      <c r="U49" s="12"/>
      <c r="V49" s="12"/>
      <c r="W49" s="12"/>
      <c r="X49" s="12"/>
      <c r="Y49" s="12"/>
      <c r="Z49" s="12"/>
      <c r="AA49" s="12"/>
    </row>
    <row r="50" spans="1:27" ht="12.75">
      <c r="A50" s="373" t="s">
        <v>32</v>
      </c>
      <c r="B50" s="42" t="s">
        <v>733</v>
      </c>
      <c r="C50" s="399">
        <v>5</v>
      </c>
      <c r="D50" s="394"/>
      <c r="E50" s="394"/>
      <c r="F50" s="394"/>
      <c r="G50" s="394"/>
      <c r="H50" s="394"/>
      <c r="I50" s="385">
        <f t="shared" si="3"/>
        <v>125</v>
      </c>
      <c r="J50" s="430" t="s">
        <v>31</v>
      </c>
      <c r="K50" s="487"/>
      <c r="L50" s="488"/>
      <c r="M50" s="488"/>
      <c r="N50" s="488"/>
      <c r="O50" s="488"/>
      <c r="P50" s="488"/>
      <c r="Q50" s="489"/>
      <c r="R50" s="12"/>
      <c r="S50" s="12"/>
      <c r="T50" s="12"/>
      <c r="U50" s="12"/>
      <c r="V50" s="12"/>
      <c r="W50" s="12"/>
      <c r="X50" s="12"/>
      <c r="Y50" s="12"/>
      <c r="Z50" s="12"/>
      <c r="AA50" s="12"/>
    </row>
    <row r="51" spans="1:27" ht="12.75">
      <c r="A51" s="373" t="s">
        <v>32</v>
      </c>
      <c r="B51" s="432" t="s">
        <v>734</v>
      </c>
      <c r="C51" s="399">
        <v>1</v>
      </c>
      <c r="D51" s="394"/>
      <c r="E51" s="394"/>
      <c r="F51" s="394"/>
      <c r="G51" s="394"/>
      <c r="H51" s="394"/>
      <c r="I51" s="385">
        <f t="shared" si="3"/>
        <v>25</v>
      </c>
      <c r="J51" s="430" t="s">
        <v>31</v>
      </c>
      <c r="K51" s="487"/>
      <c r="L51" s="488"/>
      <c r="M51" s="488"/>
      <c r="N51" s="488"/>
      <c r="O51" s="488"/>
      <c r="P51" s="488"/>
      <c r="Q51" s="489"/>
      <c r="R51" s="12"/>
      <c r="S51" s="12"/>
      <c r="T51" s="12"/>
      <c r="U51" s="12"/>
      <c r="V51" s="12"/>
      <c r="W51" s="12"/>
      <c r="X51" s="12"/>
      <c r="Y51" s="12"/>
      <c r="Z51" s="12"/>
      <c r="AA51" s="12"/>
    </row>
    <row r="52" spans="1:27" ht="12.75">
      <c r="A52" s="373" t="s">
        <v>32</v>
      </c>
      <c r="B52" s="42" t="s">
        <v>735</v>
      </c>
      <c r="C52" s="399">
        <v>5</v>
      </c>
      <c r="D52" s="394"/>
      <c r="E52" s="394"/>
      <c r="F52" s="394"/>
      <c r="G52" s="394"/>
      <c r="H52" s="394"/>
      <c r="I52" s="385">
        <f t="shared" si="3"/>
        <v>125</v>
      </c>
      <c r="J52" s="430" t="s">
        <v>31</v>
      </c>
      <c r="K52" s="487"/>
      <c r="L52" s="488"/>
      <c r="M52" s="488"/>
      <c r="N52" s="488"/>
      <c r="O52" s="488"/>
      <c r="P52" s="488"/>
      <c r="Q52" s="489"/>
      <c r="R52" s="12"/>
      <c r="S52" s="12"/>
      <c r="T52" s="12"/>
      <c r="U52" s="12"/>
      <c r="V52" s="12"/>
      <c r="W52" s="12"/>
      <c r="X52" s="12"/>
      <c r="Y52" s="12"/>
      <c r="Z52" s="12"/>
      <c r="AA52" s="12"/>
    </row>
    <row r="53" spans="1:27" ht="12.75">
      <c r="A53" s="373" t="s">
        <v>32</v>
      </c>
      <c r="B53" s="42" t="s">
        <v>736</v>
      </c>
      <c r="C53" s="399">
        <v>3</v>
      </c>
      <c r="D53" s="394"/>
      <c r="E53" s="394"/>
      <c r="F53" s="394"/>
      <c r="G53" s="394"/>
      <c r="H53" s="394"/>
      <c r="I53" s="385">
        <f t="shared" si="3"/>
        <v>75</v>
      </c>
      <c r="J53" s="430" t="s">
        <v>31</v>
      </c>
      <c r="K53" s="490"/>
      <c r="L53" s="491"/>
      <c r="M53" s="491"/>
      <c r="N53" s="491"/>
      <c r="O53" s="491"/>
      <c r="P53" s="491"/>
      <c r="Q53" s="492"/>
      <c r="R53" s="12"/>
      <c r="S53" s="12"/>
      <c r="T53" s="12"/>
      <c r="U53" s="12"/>
      <c r="V53" s="12"/>
      <c r="W53" s="12"/>
      <c r="X53" s="12"/>
      <c r="Y53" s="12"/>
      <c r="Z53" s="12"/>
      <c r="AA53" s="12"/>
    </row>
    <row r="54" spans="1:27" ht="25.5">
      <c r="A54" s="373">
        <v>4</v>
      </c>
      <c r="B54" s="42" t="s">
        <v>737</v>
      </c>
      <c r="C54" s="394"/>
      <c r="D54" s="394"/>
      <c r="E54" s="394"/>
      <c r="F54" s="399">
        <v>29</v>
      </c>
      <c r="G54" s="394"/>
      <c r="H54" s="394"/>
      <c r="I54" s="385">
        <f t="shared" si="3"/>
        <v>1160</v>
      </c>
      <c r="J54" s="430" t="s">
        <v>31</v>
      </c>
      <c r="K54" s="34"/>
      <c r="L54" s="34"/>
      <c r="M54" s="34"/>
      <c r="N54" s="33">
        <v>30</v>
      </c>
      <c r="O54" s="34"/>
      <c r="P54" s="34"/>
      <c r="Q54" s="397">
        <f t="shared" ref="Q54:Q55" si="4">K54*25+L54*30+M54*50+N54*40+O54*35+P54*25</f>
        <v>1200</v>
      </c>
      <c r="R54" s="12"/>
      <c r="S54" s="12"/>
      <c r="T54" s="12"/>
      <c r="U54" s="12"/>
      <c r="V54" s="12"/>
      <c r="W54" s="12"/>
      <c r="X54" s="12"/>
      <c r="Y54" s="12"/>
      <c r="Z54" s="12"/>
      <c r="AA54" s="12"/>
    </row>
    <row r="55" spans="1:27" ht="25.5">
      <c r="A55" s="373">
        <v>5</v>
      </c>
      <c r="B55" s="42" t="s">
        <v>738</v>
      </c>
      <c r="C55" s="394"/>
      <c r="D55" s="394"/>
      <c r="E55" s="394"/>
      <c r="F55" s="399">
        <v>9.5</v>
      </c>
      <c r="G55" s="394"/>
      <c r="H55" s="394"/>
      <c r="I55" s="385">
        <f t="shared" si="3"/>
        <v>380</v>
      </c>
      <c r="J55" s="430" t="s">
        <v>31</v>
      </c>
      <c r="K55" s="34"/>
      <c r="L55" s="34"/>
      <c r="M55" s="34"/>
      <c r="N55" s="33">
        <v>10</v>
      </c>
      <c r="O55" s="34"/>
      <c r="P55" s="34"/>
      <c r="Q55" s="397">
        <f t="shared" si="4"/>
        <v>400</v>
      </c>
      <c r="R55" s="12"/>
      <c r="S55" s="12"/>
      <c r="T55" s="12"/>
      <c r="U55" s="12"/>
      <c r="V55" s="12"/>
      <c r="W55" s="12"/>
      <c r="X55" s="12"/>
      <c r="Y55" s="12"/>
      <c r="Z55" s="12"/>
      <c r="AA55" s="12"/>
    </row>
    <row r="56" spans="1:27" ht="12.75">
      <c r="A56" s="514"/>
      <c r="B56" s="480"/>
      <c r="C56" s="480"/>
      <c r="D56" s="480"/>
      <c r="E56" s="480"/>
      <c r="F56" s="480"/>
      <c r="G56" s="478"/>
      <c r="H56" s="416" t="s">
        <v>37</v>
      </c>
      <c r="I56" s="385">
        <f>SUM(I16:I55)</f>
        <v>12695</v>
      </c>
      <c r="J56" s="413"/>
      <c r="K56" s="351"/>
      <c r="L56" s="351"/>
      <c r="M56" s="351"/>
      <c r="N56" s="383"/>
      <c r="O56" s="351"/>
      <c r="P56" s="414" t="s">
        <v>38</v>
      </c>
      <c r="Q56" s="397">
        <f>SUM(Q16:Q55)</f>
        <v>12180</v>
      </c>
      <c r="R56" s="12"/>
      <c r="S56" s="12"/>
      <c r="T56" s="12"/>
      <c r="U56" s="12"/>
      <c r="V56" s="12"/>
      <c r="W56" s="12"/>
      <c r="X56" s="12"/>
      <c r="Y56" s="12"/>
      <c r="Z56" s="12"/>
      <c r="AA56" s="12"/>
    </row>
    <row r="57" spans="1:27" ht="12.75">
      <c r="A57" s="383"/>
      <c r="B57" s="516" t="s">
        <v>343</v>
      </c>
      <c r="C57" s="480"/>
      <c r="D57" s="480"/>
      <c r="E57" s="480"/>
      <c r="F57" s="480"/>
      <c r="G57" s="480"/>
      <c r="H57" s="480"/>
      <c r="I57" s="478"/>
      <c r="J57" s="413"/>
      <c r="K57" s="413"/>
      <c r="L57" s="413"/>
      <c r="M57" s="413"/>
      <c r="N57" s="413"/>
      <c r="O57" s="413"/>
      <c r="P57" s="413"/>
      <c r="Q57" s="413"/>
      <c r="R57" s="12"/>
      <c r="S57" s="12"/>
      <c r="T57" s="12"/>
      <c r="U57" s="12"/>
      <c r="V57" s="12"/>
      <c r="W57" s="12"/>
      <c r="X57" s="12"/>
      <c r="Y57" s="12"/>
      <c r="Z57" s="12"/>
      <c r="AA57" s="12"/>
    </row>
    <row r="58" spans="1:27" ht="12.75">
      <c r="A58" s="373">
        <v>6</v>
      </c>
      <c r="B58" s="383" t="s">
        <v>739</v>
      </c>
      <c r="C58" s="399">
        <v>1</v>
      </c>
      <c r="D58" s="351"/>
      <c r="E58" s="399">
        <v>0.5</v>
      </c>
      <c r="F58" s="399">
        <v>9</v>
      </c>
      <c r="G58" s="394"/>
      <c r="H58" s="394"/>
      <c r="I58" s="385">
        <f>C58*25+D58*30+E58*50+F58*40+G58*35+H58*25</f>
        <v>410</v>
      </c>
      <c r="J58" s="430" t="s">
        <v>31</v>
      </c>
      <c r="K58" s="413"/>
      <c r="L58" s="413"/>
      <c r="M58" s="413"/>
      <c r="N58" s="413"/>
      <c r="O58" s="413"/>
      <c r="P58" s="413"/>
      <c r="Q58" s="413"/>
      <c r="R58" s="12"/>
      <c r="S58" s="12"/>
      <c r="T58" s="12"/>
      <c r="U58" s="12"/>
      <c r="V58" s="12"/>
      <c r="W58" s="12"/>
      <c r="X58" s="12"/>
      <c r="Y58" s="12"/>
      <c r="Z58" s="12"/>
      <c r="AA58" s="12"/>
    </row>
    <row r="59" spans="1:27" ht="12.75">
      <c r="A59" s="413"/>
      <c r="B59" s="413"/>
      <c r="C59" s="413"/>
      <c r="D59" s="412"/>
      <c r="E59" s="413"/>
      <c r="F59" s="413"/>
      <c r="G59" s="413"/>
      <c r="H59" s="423" t="s">
        <v>37</v>
      </c>
      <c r="I59" s="385">
        <f>SUM(I58)</f>
        <v>410</v>
      </c>
      <c r="J59" s="413"/>
      <c r="K59" s="413"/>
      <c r="L59" s="413"/>
      <c r="M59" s="413"/>
      <c r="N59" s="413"/>
      <c r="O59" s="413"/>
      <c r="P59" s="413"/>
      <c r="Q59" s="413"/>
      <c r="R59" s="12"/>
      <c r="S59" s="12"/>
      <c r="T59" s="12"/>
      <c r="U59" s="12"/>
      <c r="V59" s="12"/>
      <c r="W59" s="12"/>
      <c r="X59" s="12"/>
      <c r="Y59" s="12"/>
      <c r="Z59" s="12"/>
      <c r="AA59" s="12"/>
    </row>
    <row r="60" spans="1:27" ht="12.75">
      <c r="A60" s="413"/>
      <c r="B60" s="413"/>
      <c r="C60" s="413"/>
      <c r="D60" s="412"/>
      <c r="E60" s="413"/>
      <c r="F60" s="413"/>
      <c r="G60" s="413"/>
      <c r="H60" s="416" t="s">
        <v>38</v>
      </c>
      <c r="I60" s="385">
        <f>I56+I59</f>
        <v>13105</v>
      </c>
      <c r="J60" s="413"/>
      <c r="K60" s="413"/>
      <c r="L60" s="413"/>
      <c r="M60" s="413"/>
      <c r="N60" s="413"/>
      <c r="O60" s="413"/>
      <c r="P60" s="413"/>
      <c r="Q60" s="413"/>
      <c r="R60" s="12"/>
      <c r="S60" s="12"/>
      <c r="T60" s="12"/>
      <c r="U60" s="12"/>
      <c r="V60" s="12"/>
      <c r="W60" s="12"/>
      <c r="X60" s="12"/>
      <c r="Y60" s="12"/>
      <c r="Z60" s="12"/>
      <c r="AA60" s="12"/>
    </row>
    <row r="61" spans="1:27" ht="12.75">
      <c r="A61" s="12"/>
      <c r="B61" s="12"/>
      <c r="C61" s="12"/>
      <c r="D61" s="12"/>
      <c r="E61" s="12"/>
      <c r="F61" s="12"/>
      <c r="G61" s="12"/>
      <c r="H61" s="12"/>
      <c r="I61" s="12"/>
      <c r="J61" s="12"/>
      <c r="K61" s="413"/>
      <c r="L61" s="413"/>
      <c r="M61" s="413"/>
      <c r="N61" s="413"/>
      <c r="O61" s="413"/>
      <c r="P61" s="413"/>
      <c r="Q61" s="413"/>
      <c r="R61" s="12"/>
      <c r="S61" s="12"/>
      <c r="T61" s="12"/>
      <c r="U61" s="12"/>
      <c r="V61" s="12"/>
      <c r="W61" s="12"/>
      <c r="X61" s="12"/>
      <c r="Y61" s="12"/>
      <c r="Z61" s="12"/>
      <c r="AA61" s="12"/>
    </row>
    <row r="62" spans="1:27" ht="12.75">
      <c r="A62" s="12"/>
      <c r="B62" s="12"/>
      <c r="C62" s="12"/>
      <c r="D62" s="12"/>
      <c r="E62" s="12"/>
      <c r="F62" s="12"/>
      <c r="G62" s="12"/>
      <c r="H62" s="12"/>
      <c r="I62" s="12"/>
      <c r="J62" s="12"/>
      <c r="K62" s="413"/>
      <c r="L62" s="413"/>
      <c r="M62" s="413"/>
      <c r="N62" s="413"/>
      <c r="O62" s="413"/>
      <c r="P62" s="413"/>
      <c r="Q62" s="413"/>
      <c r="R62" s="12"/>
      <c r="S62" s="12"/>
      <c r="T62" s="12"/>
      <c r="U62" s="12"/>
      <c r="V62" s="12"/>
      <c r="W62" s="12"/>
      <c r="X62" s="12"/>
      <c r="Y62" s="12"/>
      <c r="Z62" s="12"/>
      <c r="AA62" s="12"/>
    </row>
    <row r="63" spans="1:27" ht="12.75">
      <c r="A63" s="12"/>
      <c r="B63" s="12"/>
      <c r="C63" s="12"/>
      <c r="D63" s="12"/>
      <c r="E63" s="12"/>
      <c r="F63" s="12"/>
      <c r="G63" s="12"/>
      <c r="H63" s="12"/>
      <c r="I63" s="12"/>
      <c r="J63" s="12"/>
      <c r="K63" s="413"/>
      <c r="L63" s="413"/>
      <c r="M63" s="413"/>
      <c r="N63" s="413"/>
      <c r="O63" s="413"/>
      <c r="P63" s="413"/>
      <c r="Q63" s="413"/>
      <c r="R63" s="12"/>
      <c r="S63" s="12"/>
      <c r="T63" s="12"/>
      <c r="U63" s="12"/>
      <c r="V63" s="12"/>
      <c r="W63" s="12"/>
      <c r="X63" s="12"/>
      <c r="Y63" s="12"/>
      <c r="Z63" s="12"/>
      <c r="AA63" s="12"/>
    </row>
    <row r="64" spans="1:27" ht="12.75">
      <c r="A64" s="12"/>
      <c r="B64" s="12"/>
      <c r="C64" s="12"/>
      <c r="D64" s="12"/>
      <c r="E64" s="12"/>
      <c r="F64" s="12"/>
      <c r="G64" s="12"/>
      <c r="H64" s="12"/>
      <c r="I64" s="12"/>
      <c r="J64" s="12"/>
      <c r="K64" s="413"/>
      <c r="L64" s="413"/>
      <c r="M64" s="413"/>
      <c r="N64" s="413"/>
      <c r="O64" s="413"/>
      <c r="P64" s="413"/>
      <c r="Q64" s="413"/>
      <c r="R64" s="12"/>
      <c r="S64" s="12"/>
      <c r="T64" s="12"/>
      <c r="U64" s="12"/>
      <c r="V64" s="12"/>
      <c r="W64" s="12"/>
      <c r="X64" s="12"/>
      <c r="Y64" s="12"/>
      <c r="Z64" s="12"/>
      <c r="AA64" s="12"/>
    </row>
    <row r="65" spans="1:27" ht="12.75">
      <c r="A65" s="12"/>
      <c r="B65" s="12"/>
      <c r="C65" s="12"/>
      <c r="D65" s="12"/>
      <c r="E65" s="12"/>
      <c r="F65" s="12"/>
      <c r="G65" s="12"/>
      <c r="H65" s="12"/>
      <c r="I65" s="12"/>
      <c r="J65" s="12"/>
      <c r="K65" s="413"/>
      <c r="L65" s="413"/>
      <c r="M65" s="413"/>
      <c r="N65" s="413"/>
      <c r="O65" s="413"/>
      <c r="P65" s="413"/>
      <c r="Q65" s="413"/>
      <c r="R65" s="12"/>
      <c r="S65" s="12"/>
      <c r="T65" s="12"/>
      <c r="U65" s="12"/>
      <c r="V65" s="12"/>
      <c r="W65" s="12"/>
      <c r="X65" s="12"/>
      <c r="Y65" s="12"/>
      <c r="Z65" s="12"/>
      <c r="AA65" s="12"/>
    </row>
    <row r="66" spans="1:27" ht="12.75">
      <c r="A66" s="12"/>
      <c r="B66" s="12"/>
      <c r="C66" s="12"/>
      <c r="D66" s="12"/>
      <c r="E66" s="12"/>
      <c r="F66" s="12"/>
      <c r="G66" s="12"/>
      <c r="H66" s="12"/>
      <c r="I66" s="12"/>
      <c r="J66" s="12"/>
      <c r="K66" s="412"/>
      <c r="L66" s="412"/>
      <c r="M66" s="412"/>
      <c r="N66" s="413"/>
      <c r="O66" s="412"/>
      <c r="P66" s="412"/>
      <c r="Q66" s="417"/>
      <c r="R66" s="12"/>
      <c r="S66" s="12"/>
      <c r="T66" s="12"/>
      <c r="U66" s="12"/>
      <c r="V66" s="12"/>
      <c r="W66" s="12"/>
      <c r="X66" s="12"/>
      <c r="Y66" s="12"/>
      <c r="Z66" s="12"/>
      <c r="AA66" s="12"/>
    </row>
    <row r="67" spans="1:27" ht="12.75">
      <c r="A67" s="12"/>
      <c r="B67" s="12"/>
      <c r="C67" s="12"/>
      <c r="D67" s="12"/>
      <c r="E67" s="12"/>
      <c r="F67" s="12"/>
      <c r="G67" s="12"/>
      <c r="H67" s="12"/>
      <c r="I67" s="12"/>
      <c r="J67" s="12"/>
      <c r="K67" s="413"/>
      <c r="L67" s="413"/>
      <c r="M67" s="413"/>
      <c r="N67" s="413"/>
      <c r="O67" s="413"/>
      <c r="P67" s="413"/>
      <c r="Q67" s="413"/>
      <c r="R67" s="12"/>
      <c r="S67" s="12"/>
      <c r="T67" s="12"/>
      <c r="U67" s="12"/>
      <c r="V67" s="12"/>
      <c r="W67" s="12"/>
      <c r="X67" s="12"/>
      <c r="Y67" s="12"/>
      <c r="Z67" s="12"/>
      <c r="AA67" s="12"/>
    </row>
    <row r="68" spans="1:27" ht="12.75">
      <c r="A68" s="12"/>
      <c r="B68" s="12"/>
      <c r="C68" s="12"/>
      <c r="D68" s="12"/>
      <c r="E68" s="12"/>
      <c r="F68" s="12"/>
      <c r="G68" s="12"/>
      <c r="H68" s="12"/>
      <c r="I68" s="12"/>
      <c r="J68" s="12"/>
      <c r="K68" s="413"/>
      <c r="L68" s="413"/>
      <c r="M68" s="413"/>
      <c r="N68" s="413"/>
      <c r="O68" s="413"/>
      <c r="P68" s="413"/>
      <c r="Q68" s="413"/>
      <c r="R68" s="12"/>
      <c r="S68" s="12"/>
      <c r="T68" s="12"/>
      <c r="U68" s="12"/>
      <c r="V68" s="12"/>
      <c r="W68" s="12"/>
      <c r="X68" s="12"/>
      <c r="Y68" s="12"/>
      <c r="Z68" s="12"/>
      <c r="AA68" s="12"/>
    </row>
    <row r="69" spans="1:27" ht="12.7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row>
    <row r="70" spans="1:27" ht="12.7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row>
    <row r="71" spans="1:27" ht="12.7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row>
    <row r="72" spans="1:27" ht="12.7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row>
    <row r="73" spans="1:27" ht="12.7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row>
    <row r="74" spans="1:27" ht="12.7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row>
    <row r="75" spans="1:27" ht="12.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row>
    <row r="76" spans="1:27" ht="12.7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row>
    <row r="77" spans="1:27" ht="12.7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row>
    <row r="78" spans="1:27" ht="12.7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row>
    <row r="79" spans="1:27" ht="12.7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row>
    <row r="80" spans="1:27" ht="12.7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row>
    <row r="81" spans="1:27" ht="12.7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row>
    <row r="82" spans="1:27" ht="12.7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row>
    <row r="83" spans="1:27" ht="12.7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row>
    <row r="84" spans="1:27" ht="12.7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row>
    <row r="85" spans="1:27" ht="12.7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row>
    <row r="86" spans="1:27" ht="12.7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row>
    <row r="87" spans="1:27" ht="12.7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row>
    <row r="88" spans="1:27" ht="12.7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row>
    <row r="89" spans="1:27" ht="12.7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row>
    <row r="90" spans="1:27" ht="12.7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row>
    <row r="91" spans="1:27" ht="12.7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row>
    <row r="92" spans="1:27" ht="12.7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row>
    <row r="93" spans="1:27" ht="12.7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row>
    <row r="94" spans="1:27" ht="12.7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row>
    <row r="95" spans="1:27" ht="12.7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row>
    <row r="96" spans="1:27" ht="12.7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row>
    <row r="97" spans="1:27" ht="12.7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row>
    <row r="98" spans="1:27" ht="12.7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row>
    <row r="99" spans="1:27" ht="12.7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row>
    <row r="100" spans="1:27" ht="12.7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row>
    <row r="101" spans="1:27" ht="12.7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row>
    <row r="102" spans="1:27" ht="12.7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row>
    <row r="103" spans="1:27" ht="12.7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row>
    <row r="104" spans="1:27" ht="12.7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row>
    <row r="105" spans="1:27" ht="12.7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row>
    <row r="106" spans="1:27" ht="12.7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row>
    <row r="107" spans="1:27" ht="12.7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row>
    <row r="108" spans="1:27" ht="12.7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row>
    <row r="109" spans="1:27" ht="12.7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row>
    <row r="110" spans="1:27" ht="12.7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row>
    <row r="111" spans="1:27" ht="12.7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row>
    <row r="112" spans="1:27" ht="12.7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row>
    <row r="113" spans="1:27" ht="12.7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row>
    <row r="114" spans="1:27" ht="12.7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row>
    <row r="115" spans="1:27" ht="12.7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row>
    <row r="116" spans="1:27" ht="12.7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row>
    <row r="117" spans="1:27" ht="12.7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row>
    <row r="118" spans="1:27" ht="12.7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row>
    <row r="119" spans="1:27" ht="12.7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row>
    <row r="120" spans="1:27" ht="12.7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row>
    <row r="121" spans="1:27" ht="12.7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row>
    <row r="122" spans="1:27" ht="12.7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row>
    <row r="123" spans="1:27" ht="12.7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row>
    <row r="124" spans="1:27" ht="12.7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row>
    <row r="125" spans="1:27" ht="12.7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row>
    <row r="126" spans="1:27" ht="12.7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row>
    <row r="127" spans="1:27" ht="12.7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row>
    <row r="128" spans="1:27" ht="12.7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row>
    <row r="129" spans="1:27" ht="12.7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row>
    <row r="130" spans="1:27" ht="12.7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row>
    <row r="131" spans="1:27" ht="12.7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row>
    <row r="132" spans="1:27" ht="12.7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row>
    <row r="133" spans="1:27" ht="12.7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row>
    <row r="134" spans="1:27" ht="12.7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row>
    <row r="135" spans="1:27" ht="12.7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row>
    <row r="136" spans="1:27" ht="12.7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row>
    <row r="137" spans="1:27" ht="12.7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row>
    <row r="138" spans="1:27" ht="12.7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row>
    <row r="139" spans="1:27" ht="12.7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row>
    <row r="140" spans="1:27" ht="12.7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row>
    <row r="141" spans="1:27" ht="12.7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row>
    <row r="142" spans="1:27" ht="12.7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row>
    <row r="143" spans="1:27" ht="12.7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row>
    <row r="144" spans="1:27" ht="12.7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row>
    <row r="145" spans="1:27" ht="12.7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row>
    <row r="146" spans="1:27" ht="12.7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row>
    <row r="147" spans="1:27" ht="12.7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row>
    <row r="148" spans="1:27" ht="12.7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row>
    <row r="149" spans="1:27" ht="12.7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row>
    <row r="150" spans="1:27" ht="12.7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row>
    <row r="151" spans="1:27" ht="12.7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row>
    <row r="152" spans="1:27" ht="12.7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row>
    <row r="153" spans="1:27" ht="12.7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row>
    <row r="154" spans="1:27" ht="12.7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row>
    <row r="155" spans="1:27" ht="12.7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row>
    <row r="156" spans="1:27" ht="12.7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row>
    <row r="157" spans="1:27" ht="12.7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row>
    <row r="158" spans="1:27" ht="12.7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row>
    <row r="159" spans="1:27" ht="12.7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row>
    <row r="160" spans="1:27" ht="12.7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row>
    <row r="161" spans="1:27" ht="12.7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row>
    <row r="162" spans="1:27" ht="12.7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row>
    <row r="163" spans="1:27" ht="12.7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row>
    <row r="164" spans="1:27" ht="12.7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row>
    <row r="165" spans="1:27" ht="12.7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row>
    <row r="166" spans="1:27" ht="12.7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row>
    <row r="167" spans="1:27" ht="12.7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row>
    <row r="168" spans="1:27" ht="12.7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row>
    <row r="169" spans="1:27" ht="12.7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row>
    <row r="170" spans="1:27" ht="12.7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row>
    <row r="171" spans="1:27" ht="12.7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row>
    <row r="172" spans="1:27" ht="12.7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row>
    <row r="173" spans="1:27" ht="12.7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row>
    <row r="174" spans="1:27" ht="12.7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row>
    <row r="175" spans="1:27" ht="12.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row>
    <row r="176" spans="1:27" ht="12.7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row>
    <row r="177" spans="1:27" ht="12.7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row>
    <row r="178" spans="1:27" ht="12.7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row>
    <row r="179" spans="1:27" ht="12.7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row>
    <row r="180" spans="1:27" ht="12.7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row>
    <row r="181" spans="1:27" ht="12.7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row>
    <row r="182" spans="1:27" ht="12.7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row>
    <row r="183" spans="1:27" ht="12.7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row>
    <row r="184" spans="1:27" ht="12.7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row>
    <row r="185" spans="1:27" ht="12.7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row>
    <row r="186" spans="1:27" ht="12.7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row>
    <row r="187" spans="1:27" ht="12.7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row>
    <row r="188" spans="1:27" ht="12.7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row>
    <row r="189" spans="1:27" ht="12.7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row>
    <row r="190" spans="1:27" ht="12.7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row>
    <row r="191" spans="1:27" ht="12.7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row>
    <row r="192" spans="1:27" ht="12.7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row>
    <row r="193" spans="1:27" ht="12.7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row>
    <row r="194" spans="1:27" ht="12.7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row>
    <row r="195" spans="1:27" ht="12.7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row>
    <row r="196" spans="1:27" ht="12.7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row>
    <row r="197" spans="1:27" ht="12.7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row>
    <row r="198" spans="1:27" ht="12.7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row>
    <row r="199" spans="1:27" ht="12.7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row>
    <row r="200" spans="1:27" ht="12.7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row>
    <row r="201" spans="1:27" ht="12.7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row>
    <row r="202" spans="1:27" ht="12.7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row>
    <row r="203" spans="1:27" ht="12.7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row>
    <row r="204" spans="1:27" ht="12.7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row>
    <row r="205" spans="1:27" ht="12.7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row>
    <row r="206" spans="1:27" ht="12.7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row>
    <row r="207" spans="1:27" ht="12.7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row>
    <row r="208" spans="1:27" ht="12.7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row>
    <row r="209" spans="1:27" ht="12.7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row>
    <row r="210" spans="1:27" ht="12.7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row>
    <row r="211" spans="1:27" ht="12.7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row>
    <row r="212" spans="1:27" ht="12.7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row>
    <row r="213" spans="1:27" ht="12.7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row>
    <row r="214" spans="1:27" ht="12.7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row>
    <row r="215" spans="1:27" ht="12.7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row>
    <row r="216" spans="1:27" ht="12.7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row>
    <row r="217" spans="1:27" ht="12.7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row>
    <row r="218" spans="1:27" ht="12.7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row>
    <row r="219" spans="1:27" ht="12.7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row>
    <row r="220" spans="1:27" ht="12.7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row>
    <row r="221" spans="1:27" ht="12.7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row>
    <row r="222" spans="1:27" ht="12.7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row>
    <row r="223" spans="1:27" ht="12.7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row>
    <row r="224" spans="1:27" ht="12.7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row>
    <row r="225" spans="1:27" ht="12.7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row>
    <row r="226" spans="1:27" ht="12.7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row>
    <row r="227" spans="1:27" ht="12.7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row>
    <row r="228" spans="1:27" ht="12.7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row>
    <row r="229" spans="1:27" ht="12.7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row>
    <row r="230" spans="1:27" ht="12.7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row>
    <row r="231" spans="1:27" ht="12.7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row>
    <row r="232" spans="1:27" ht="12.7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row>
    <row r="233" spans="1:27" ht="12.7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row>
    <row r="234" spans="1:27" ht="12.7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row>
    <row r="235" spans="1:27" ht="12.7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row>
    <row r="236" spans="1:27" ht="12.7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row>
    <row r="237" spans="1:27" ht="12.7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row>
    <row r="238" spans="1:27" ht="12.7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row>
    <row r="239" spans="1:27" ht="12.7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row>
    <row r="240" spans="1:27" ht="12.7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row>
    <row r="241" spans="1:27" ht="12.7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row>
    <row r="242" spans="1:27" ht="12.7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row>
    <row r="243" spans="1:27" ht="12.7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row>
    <row r="244" spans="1:27" ht="12.7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row>
    <row r="245" spans="1:27" ht="12.7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row>
    <row r="246" spans="1:27" ht="12.7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row>
    <row r="247" spans="1:27" ht="12.7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row>
    <row r="248" spans="1:27" ht="12.7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row>
    <row r="249" spans="1:27" ht="12.7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row>
    <row r="250" spans="1:27" ht="12.7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row>
    <row r="251" spans="1:27" ht="12.7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row>
    <row r="252" spans="1:27" ht="12.7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row>
    <row r="253" spans="1:27" ht="12.7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row>
    <row r="254" spans="1:27" ht="12.7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row>
    <row r="255" spans="1:27" ht="12.7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row>
    <row r="256" spans="1:27" ht="12.7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row>
    <row r="257" spans="1:27" ht="12.7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row>
    <row r="258" spans="1:27" ht="12.7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row>
    <row r="259" spans="1:27" ht="12.7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row>
    <row r="260" spans="1:27" ht="12.7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row>
    <row r="261" spans="1:27" ht="12.7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row>
    <row r="262" spans="1:27" ht="12.7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row>
    <row r="263" spans="1:27" ht="12.7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row>
    <row r="264" spans="1:27" ht="12.7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row>
    <row r="265" spans="1:27" ht="12.7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row>
    <row r="266" spans="1:27" ht="12.7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row>
    <row r="267" spans="1:27" ht="12.7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row>
    <row r="268" spans="1:27" ht="12.7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row>
    <row r="269" spans="1:27" ht="12.7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row>
    <row r="270" spans="1:27" ht="12.7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row>
    <row r="271" spans="1:27" ht="12.7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row>
    <row r="272" spans="1:27" ht="12.7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row>
    <row r="273" spans="1:27" ht="12.7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row>
    <row r="274" spans="1:27" ht="12.7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row>
    <row r="275" spans="1:27" ht="1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row>
    <row r="276" spans="1:27" ht="12.7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row>
    <row r="277" spans="1:27" ht="12.7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row>
    <row r="278" spans="1:27" ht="12.7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row>
    <row r="279" spans="1:27" ht="12.7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row>
    <row r="280" spans="1:27" ht="12.7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row>
    <row r="281" spans="1:27" ht="12.7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row>
    <row r="282" spans="1:27" ht="12.7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row>
    <row r="283" spans="1:27" ht="12.7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row>
    <row r="284" spans="1:27" ht="12.7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row>
    <row r="285" spans="1:27" ht="12.7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row>
    <row r="286" spans="1:27" ht="12.7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row>
    <row r="287" spans="1:27" ht="12.7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row>
    <row r="288" spans="1:27" ht="12.7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row>
    <row r="289" spans="1:27" ht="12.7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row>
    <row r="290" spans="1:27" ht="12.7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row>
    <row r="291" spans="1:27" ht="12.7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row>
    <row r="292" spans="1:27" ht="12.7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row>
    <row r="293" spans="1:27" ht="12.7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row>
    <row r="294" spans="1:27" ht="12.7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row>
    <row r="295" spans="1:27" ht="12.7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row>
    <row r="296" spans="1:27" ht="12.7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row>
    <row r="297" spans="1:27" ht="12.7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row>
    <row r="298" spans="1:27" ht="12.7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row>
    <row r="299" spans="1:27" ht="12.7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row>
    <row r="300" spans="1:27" ht="12.7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row>
    <row r="301" spans="1:27" ht="12.7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row>
    <row r="302" spans="1:27" ht="12.7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row>
    <row r="303" spans="1:27" ht="12.7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row>
    <row r="304" spans="1:27" ht="12.7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row>
    <row r="305" spans="1:27" ht="12.7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row>
    <row r="306" spans="1:27" ht="12.7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row>
    <row r="307" spans="1:27" ht="12.7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row>
    <row r="308" spans="1:27" ht="12.7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row>
    <row r="309" spans="1:27" ht="12.7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row>
    <row r="310" spans="1:27" ht="12.7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row>
    <row r="311" spans="1:27" ht="12.7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row>
    <row r="312" spans="1:27" ht="12.7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row>
    <row r="313" spans="1:27" ht="12.7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row>
    <row r="314" spans="1:27" ht="12.7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row>
    <row r="315" spans="1:27" ht="12.7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row>
    <row r="316" spans="1:27" ht="12.7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row>
    <row r="317" spans="1:27" ht="12.7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row>
    <row r="318" spans="1:27" ht="12.7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row>
    <row r="319" spans="1:27" ht="12.7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row>
    <row r="320" spans="1:27" ht="12.7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row>
    <row r="321" spans="1:27" ht="12.7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row>
    <row r="322" spans="1:27" ht="12.7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row>
    <row r="323" spans="1:27" ht="12.7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row>
    <row r="324" spans="1:27" ht="12.7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row>
    <row r="325" spans="1:27" ht="12.7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row>
    <row r="326" spans="1:27" ht="12.7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row>
    <row r="327" spans="1:27" ht="12.7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row>
    <row r="328" spans="1:27" ht="12.7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row>
    <row r="329" spans="1:27" ht="12.7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row>
    <row r="330" spans="1:27" ht="12.7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row>
    <row r="331" spans="1:27" ht="12.7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row>
    <row r="332" spans="1:27" ht="12.7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row>
    <row r="333" spans="1:27" ht="12.7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row>
    <row r="334" spans="1:27" ht="12.7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row>
    <row r="335" spans="1:27" ht="12.7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row>
    <row r="336" spans="1:27" ht="12.7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row>
    <row r="337" spans="1:27" ht="12.7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row>
    <row r="338" spans="1:27" ht="12.7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row>
    <row r="339" spans="1:27" ht="12.7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row>
    <row r="340" spans="1:27" ht="12.7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row>
    <row r="341" spans="1:27" ht="12.7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row>
    <row r="342" spans="1:27" ht="12.7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row>
    <row r="343" spans="1:27" ht="12.7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row>
    <row r="344" spans="1:27" ht="12.7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row>
    <row r="345" spans="1:27" ht="12.7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row>
    <row r="346" spans="1:27" ht="12.7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row>
    <row r="347" spans="1:27" ht="12.7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row>
    <row r="348" spans="1:27" ht="12.7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row>
    <row r="349" spans="1:27" ht="12.7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row>
    <row r="350" spans="1:27" ht="12.7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row>
    <row r="351" spans="1:27" ht="12.7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row>
    <row r="352" spans="1:27" ht="12.7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row>
    <row r="353" spans="1:27" ht="12.7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row>
    <row r="354" spans="1:27" ht="12.7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row>
    <row r="355" spans="1:27" ht="12.7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row>
    <row r="356" spans="1:27" ht="12.7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row>
    <row r="357" spans="1:27" ht="12.7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row>
    <row r="358" spans="1:27" ht="12.7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row>
    <row r="359" spans="1:27" ht="12.7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row>
    <row r="360" spans="1:27" ht="12.7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row>
    <row r="361" spans="1:27" ht="12.7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row>
    <row r="362" spans="1:27" ht="12.7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row>
    <row r="363" spans="1:27" ht="12.7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row>
    <row r="364" spans="1:27" ht="12.7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row>
    <row r="365" spans="1:27" ht="12.7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row>
    <row r="366" spans="1:27" ht="12.7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row>
    <row r="367" spans="1:27" ht="12.7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row>
    <row r="368" spans="1:27" ht="12.7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row>
    <row r="369" spans="1:27" ht="12.7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row>
    <row r="370" spans="1:27" ht="12.7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row>
    <row r="371" spans="1:27" ht="12.7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row>
    <row r="372" spans="1:27" ht="12.7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row>
    <row r="373" spans="1:27" ht="12.7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row>
    <row r="374" spans="1:27" ht="12.7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row>
    <row r="375" spans="1:27" ht="12.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row>
    <row r="376" spans="1:27" ht="12.7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row>
    <row r="377" spans="1:27" ht="12.7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row>
    <row r="378" spans="1:27" ht="12.7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row>
    <row r="379" spans="1:27" ht="12.7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row>
    <row r="380" spans="1:27" ht="12.7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row>
    <row r="381" spans="1:27" ht="12.7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row>
    <row r="382" spans="1:27" ht="12.7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row>
    <row r="383" spans="1:27" ht="12.7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row>
    <row r="384" spans="1:27" ht="12.7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row>
    <row r="385" spans="1:27" ht="12.7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row>
    <row r="386" spans="1:27" ht="12.7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row>
    <row r="387" spans="1:27" ht="12.7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row>
    <row r="388" spans="1:27" ht="12.7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row>
    <row r="389" spans="1:27" ht="12.7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row>
    <row r="390" spans="1:27" ht="12.7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row>
    <row r="391" spans="1:27" ht="12.7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row>
    <row r="392" spans="1:27" ht="12.7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row>
    <row r="393" spans="1:27" ht="12.7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row>
    <row r="394" spans="1:27" ht="12.7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row>
    <row r="395" spans="1:27" ht="12.7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row>
    <row r="396" spans="1:27" ht="12.7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row>
    <row r="397" spans="1:27" ht="12.7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row>
    <row r="398" spans="1:27" ht="12.7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row>
    <row r="399" spans="1:27" ht="12.7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row>
    <row r="400" spans="1:27" ht="12.7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row>
    <row r="401" spans="1:27" ht="12.7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row>
    <row r="402" spans="1:27" ht="12.7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row>
    <row r="403" spans="1:27" ht="12.7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row>
    <row r="404" spans="1:27" ht="12.7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row>
    <row r="405" spans="1:27" ht="12.7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row>
    <row r="406" spans="1:27" ht="12.7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row>
    <row r="407" spans="1:27" ht="12.7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row>
    <row r="408" spans="1:27" ht="12.7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row>
    <row r="409" spans="1:27" ht="12.7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row>
    <row r="410" spans="1:27" ht="12.7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row>
    <row r="411" spans="1:27" ht="12.7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row>
    <row r="412" spans="1:27" ht="12.7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row>
    <row r="413" spans="1:27" ht="12.7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row>
    <row r="414" spans="1:27" ht="12.7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row>
    <row r="415" spans="1:27" ht="12.7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row>
    <row r="416" spans="1:27" ht="12.7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row>
    <row r="417" spans="1:27" ht="12.7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row>
    <row r="418" spans="1:27" ht="12.7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row>
    <row r="419" spans="1:27" ht="12.7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row>
    <row r="420" spans="1:27" ht="12.7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row>
    <row r="421" spans="1:27" ht="12.7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row>
    <row r="422" spans="1:27" ht="12.7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row>
    <row r="423" spans="1:27" ht="12.7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row>
    <row r="424" spans="1:27" ht="12.7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row>
    <row r="425" spans="1:27" ht="12.7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row>
    <row r="426" spans="1:27" ht="12.7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row>
    <row r="427" spans="1:27" ht="12.7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row>
    <row r="428" spans="1:27" ht="12.7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row>
    <row r="429" spans="1:27" ht="12.7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row>
    <row r="430" spans="1:27" ht="12.7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row>
    <row r="431" spans="1:27" ht="12.7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row>
    <row r="432" spans="1:27" ht="12.7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row>
    <row r="433" spans="1:27" ht="12.7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row>
    <row r="434" spans="1:27" ht="12.7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row>
    <row r="435" spans="1:27" ht="12.7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row>
    <row r="436" spans="1:27" ht="12.7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row>
    <row r="437" spans="1:27" ht="12.7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row>
    <row r="438" spans="1:27" ht="12.7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row>
    <row r="439" spans="1:27" ht="12.7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row>
    <row r="440" spans="1:27" ht="12.7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row>
    <row r="441" spans="1:27" ht="12.7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row>
    <row r="442" spans="1:27" ht="12.7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row>
    <row r="443" spans="1:27" ht="12.7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row>
    <row r="444" spans="1:27" ht="12.7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row>
    <row r="445" spans="1:27" ht="12.7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row>
    <row r="446" spans="1:27" ht="12.7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row>
    <row r="447" spans="1:27" ht="12.7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row>
    <row r="448" spans="1:27" ht="12.7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row>
    <row r="449" spans="1:27" ht="12.7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row>
    <row r="450" spans="1:27" ht="12.7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row>
    <row r="451" spans="1:27" ht="12.7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row>
    <row r="452" spans="1:27" ht="12.7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row>
    <row r="453" spans="1:27" ht="12.7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row>
    <row r="454" spans="1:27" ht="12.7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row>
    <row r="455" spans="1:27" ht="12.7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row>
    <row r="456" spans="1:27" ht="12.7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row>
    <row r="457" spans="1:27" ht="12.7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row>
    <row r="458" spans="1:27" ht="12.7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row>
    <row r="459" spans="1:27" ht="12.7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row>
    <row r="460" spans="1:27" ht="12.7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row>
    <row r="461" spans="1:27" ht="12.7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row>
    <row r="462" spans="1:27" ht="12.7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row>
    <row r="463" spans="1:27" ht="12.7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row>
    <row r="464" spans="1:27" ht="12.7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row>
    <row r="465" spans="1:27" ht="12.7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row>
    <row r="466" spans="1:27" ht="12.7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row>
    <row r="467" spans="1:27" ht="12.7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row>
    <row r="468" spans="1:27" ht="12.7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row>
    <row r="469" spans="1:27" ht="12.7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row>
    <row r="470" spans="1:27" ht="12.7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row>
    <row r="471" spans="1:27" ht="12.7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row>
    <row r="472" spans="1:27" ht="12.7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row>
    <row r="473" spans="1:27" ht="12.7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row>
    <row r="474" spans="1:27" ht="12.7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row>
    <row r="475" spans="1:27" ht="12.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row>
    <row r="476" spans="1:27" ht="12.7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row>
    <row r="477" spans="1:27" ht="12.7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row>
    <row r="478" spans="1:27" ht="12.7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row>
    <row r="479" spans="1:27" ht="12.7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row>
    <row r="480" spans="1:27" ht="12.7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row>
    <row r="481" spans="1:27" ht="12.7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row>
    <row r="482" spans="1:27" ht="12.7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row>
    <row r="483" spans="1:27" ht="12.7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row>
    <row r="484" spans="1:27" ht="12.7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row>
    <row r="485" spans="1:27" ht="12.7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row>
    <row r="486" spans="1:27" ht="12.7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row>
    <row r="487" spans="1:27" ht="12.7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row>
    <row r="488" spans="1:27" ht="12.7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row>
    <row r="489" spans="1:27" ht="12.7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row>
    <row r="490" spans="1:27" ht="12.7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row>
    <row r="491" spans="1:27" ht="12.7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row>
    <row r="492" spans="1:27" ht="12.7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row>
    <row r="493" spans="1:27" ht="12.7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row>
    <row r="494" spans="1:27" ht="12.7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row>
    <row r="495" spans="1:27" ht="12.7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row>
    <row r="496" spans="1:27" ht="12.7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row>
    <row r="497" spans="1:27" ht="12.7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row>
    <row r="498" spans="1:27" ht="12.7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row>
    <row r="499" spans="1:27" ht="12.7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row>
    <row r="500" spans="1:27" ht="12.7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row>
    <row r="501" spans="1:27" ht="12.7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row>
    <row r="502" spans="1:27" ht="12.7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row>
    <row r="503" spans="1:27" ht="12.7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row>
    <row r="504" spans="1:27" ht="12.7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row>
    <row r="505" spans="1:27" ht="12.7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row>
    <row r="506" spans="1:27" ht="12.7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row>
    <row r="507" spans="1:27" ht="12.7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row>
    <row r="508" spans="1:27" ht="12.7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row>
    <row r="509" spans="1:27" ht="12.7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row>
    <row r="510" spans="1:27" ht="12.7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row>
    <row r="511" spans="1:27" ht="12.7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row>
    <row r="512" spans="1:27" ht="12.7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row>
    <row r="513" spans="1:27" ht="12.7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row>
    <row r="514" spans="1:27" ht="12.7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row>
    <row r="515" spans="1:27" ht="12.7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row>
    <row r="516" spans="1:27" ht="12.7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row>
    <row r="517" spans="1:27" ht="12.7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row>
    <row r="518" spans="1:27" ht="12.7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row>
    <row r="519" spans="1:27" ht="12.7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row>
    <row r="520" spans="1:27" ht="12.7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row>
    <row r="521" spans="1:27" ht="12.7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row>
    <row r="522" spans="1:27" ht="12.7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row>
    <row r="523" spans="1:27" ht="12.7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row>
    <row r="524" spans="1:27" ht="12.7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row>
    <row r="525" spans="1:27" ht="12.7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row>
    <row r="526" spans="1:27" ht="12.7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row>
    <row r="527" spans="1:27" ht="12.7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row>
    <row r="528" spans="1:27" ht="12.7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row>
    <row r="529" spans="1:27" ht="12.7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row>
    <row r="530" spans="1:27" ht="12.7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row>
    <row r="531" spans="1:27" ht="12.7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row>
    <row r="532" spans="1:27" ht="12.7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row>
    <row r="533" spans="1:27" ht="12.7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row>
    <row r="534" spans="1:27" ht="12.7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row>
    <row r="535" spans="1:27" ht="12.7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row>
    <row r="536" spans="1:27" ht="12.7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row>
    <row r="537" spans="1:27" ht="12.7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row>
    <row r="538" spans="1:27" ht="12.7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row>
    <row r="539" spans="1:27" ht="12.7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row>
    <row r="540" spans="1:27" ht="12.7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row>
    <row r="541" spans="1:27" ht="12.7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row>
    <row r="542" spans="1:27" ht="12.7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row>
    <row r="543" spans="1:27" ht="12.7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row>
    <row r="544" spans="1:27" ht="12.7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row>
    <row r="545" spans="1:27" ht="12.7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row>
    <row r="546" spans="1:27" ht="12.7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row>
    <row r="547" spans="1:27" ht="12.7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row>
    <row r="548" spans="1:27" ht="12.7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row>
    <row r="549" spans="1:27" ht="12.7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row>
    <row r="550" spans="1:27" ht="12.7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row>
    <row r="551" spans="1:27" ht="12.7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row>
    <row r="552" spans="1:27" ht="12.7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row>
    <row r="553" spans="1:27" ht="12.7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row>
    <row r="554" spans="1:27" ht="12.7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row>
    <row r="555" spans="1:27" ht="12.7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row>
    <row r="556" spans="1:27" ht="12.7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row>
    <row r="557" spans="1:27" ht="12.7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row>
    <row r="558" spans="1:27" ht="12.7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row>
    <row r="559" spans="1:27" ht="12.7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row>
    <row r="560" spans="1:27" ht="12.7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row>
    <row r="561" spans="1:27" ht="12.7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row>
    <row r="562" spans="1:27" ht="12.7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row>
    <row r="563" spans="1:27" ht="12.7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row>
    <row r="564" spans="1:27" ht="12.7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row>
    <row r="565" spans="1:27" ht="12.7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row>
    <row r="566" spans="1:27" ht="12.7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row>
    <row r="567" spans="1:27" ht="12.7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row>
    <row r="568" spans="1:27" ht="12.7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row>
    <row r="569" spans="1:27" ht="12.7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row>
    <row r="570" spans="1:27" ht="12.7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row>
    <row r="571" spans="1:27" ht="12.7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row>
    <row r="572" spans="1:27" ht="12.7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row>
    <row r="573" spans="1:27" ht="12.7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row>
    <row r="574" spans="1:27" ht="12.7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row>
    <row r="575" spans="1:27" ht="12.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row>
    <row r="576" spans="1:27" ht="12.7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row>
    <row r="577" spans="1:27" ht="12.7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row>
    <row r="578" spans="1:27" ht="12.7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row>
    <row r="579" spans="1:27" ht="12.7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row>
    <row r="580" spans="1:27" ht="12.7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row>
    <row r="581" spans="1:27" ht="12.7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row>
    <row r="582" spans="1:27" ht="12.7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row>
    <row r="583" spans="1:27" ht="12.7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row>
    <row r="584" spans="1:27" ht="12.7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row>
    <row r="585" spans="1:27" ht="12.7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row>
    <row r="586" spans="1:27" ht="12.7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row>
    <row r="587" spans="1:27" ht="12.7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row>
    <row r="588" spans="1:27" ht="12.7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row>
    <row r="589" spans="1:27" ht="12.7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row>
    <row r="590" spans="1:27" ht="12.7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row>
    <row r="591" spans="1:27" ht="12.7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row>
    <row r="592" spans="1:27" ht="12.7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row>
    <row r="593" spans="1:27" ht="12.7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row>
    <row r="594" spans="1:27" ht="12.7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row>
    <row r="595" spans="1:27" ht="12.7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row>
    <row r="596" spans="1:27" ht="12.7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row>
    <row r="597" spans="1:27" ht="12.7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row>
    <row r="598" spans="1:27" ht="12.7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row>
    <row r="599" spans="1:27" ht="12.7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row>
    <row r="600" spans="1:27" ht="12.7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row>
    <row r="601" spans="1:27" ht="12.7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row>
    <row r="602" spans="1:27" ht="12.7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row>
    <row r="603" spans="1:27" ht="12.7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row>
    <row r="604" spans="1:27" ht="12.7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row>
    <row r="605" spans="1:27" ht="12.7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row>
    <row r="606" spans="1:27" ht="12.7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row>
    <row r="607" spans="1:27" ht="12.7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row>
    <row r="608" spans="1:27" ht="12.7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row>
    <row r="609" spans="1:27" ht="12.7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row>
    <row r="610" spans="1:27" ht="12.7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row>
    <row r="611" spans="1:27" ht="12.7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row>
    <row r="612" spans="1:27" ht="12.7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row>
    <row r="613" spans="1:27" ht="12.7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row>
    <row r="614" spans="1:27" ht="12.7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row>
    <row r="615" spans="1:27" ht="12.7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row>
    <row r="616" spans="1:27" ht="12.7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row>
    <row r="617" spans="1:27" ht="12.7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row>
    <row r="618" spans="1:27" ht="12.7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row>
    <row r="619" spans="1:27" ht="12.7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row>
    <row r="620" spans="1:27" ht="12.7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row>
    <row r="621" spans="1:27" ht="12.7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row>
    <row r="622" spans="1:27" ht="12.7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row>
    <row r="623" spans="1:27" ht="12.7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row>
    <row r="624" spans="1:27" ht="12.7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row>
    <row r="625" spans="1:27" ht="12.7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row>
    <row r="626" spans="1:27" ht="12.7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row>
    <row r="627" spans="1:27" ht="12.7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row>
    <row r="628" spans="1:27" ht="12.7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row>
    <row r="629" spans="1:27" ht="12.7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row>
    <row r="630" spans="1:27" ht="12.7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row>
    <row r="631" spans="1:27" ht="12.7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row>
    <row r="632" spans="1:27" ht="12.7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row>
    <row r="633" spans="1:27" ht="12.7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row>
    <row r="634" spans="1:27" ht="12.7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row>
    <row r="635" spans="1:27" ht="12.7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row>
    <row r="636" spans="1:27" ht="12.7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row>
    <row r="637" spans="1:27" ht="12.7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row>
    <row r="638" spans="1:27" ht="12.7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row>
    <row r="639" spans="1:27" ht="12.7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row>
    <row r="640" spans="1:27" ht="12.7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row>
    <row r="641" spans="1:27" ht="12.7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row>
    <row r="642" spans="1:27" ht="12.7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row>
    <row r="643" spans="1:27" ht="12.7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row>
    <row r="644" spans="1:27" ht="12.7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row>
    <row r="645" spans="1:27" ht="12.7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row>
    <row r="646" spans="1:27" ht="12.7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row>
    <row r="647" spans="1:27" ht="12.7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row>
    <row r="648" spans="1:27" ht="12.7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row>
    <row r="649" spans="1:27" ht="12.7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row>
    <row r="650" spans="1:27" ht="12.7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row>
    <row r="651" spans="1:27" ht="12.7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row>
    <row r="652" spans="1:27" ht="12.7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row>
    <row r="653" spans="1:27" ht="12.7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row>
    <row r="654" spans="1:27" ht="12.7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row>
    <row r="655" spans="1:27" ht="12.7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row>
    <row r="656" spans="1:27" ht="12.7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row>
    <row r="657" spans="1:27" ht="12.7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row>
    <row r="658" spans="1:27" ht="12.7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row>
    <row r="659" spans="1:27" ht="12.7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row>
    <row r="660" spans="1:27" ht="12.7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row>
    <row r="661" spans="1:27" ht="12.7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row>
    <row r="662" spans="1:27" ht="12.7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row>
    <row r="663" spans="1:27" ht="12.7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row>
    <row r="664" spans="1:27" ht="12.7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row>
    <row r="665" spans="1:27" ht="12.7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row>
    <row r="666" spans="1:27" ht="12.7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row>
    <row r="667" spans="1:27" ht="12.7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row>
    <row r="668" spans="1:27" ht="12.7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row>
    <row r="669" spans="1:27" ht="12.7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row>
    <row r="670" spans="1:27" ht="12.7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row>
    <row r="671" spans="1:27" ht="12.7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row>
    <row r="672" spans="1:27" ht="12.7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row>
    <row r="673" spans="1:27" ht="12.7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row>
    <row r="674" spans="1:27" ht="12.7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row>
    <row r="675" spans="1:27" ht="12.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row>
    <row r="676" spans="1:27" ht="12.7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row>
    <row r="677" spans="1:27" ht="12.7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row>
    <row r="678" spans="1:27" ht="12.7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row>
    <row r="679" spans="1:27" ht="12.7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row>
    <row r="680" spans="1:27" ht="12.7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row>
    <row r="681" spans="1:27" ht="12.7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row>
    <row r="682" spans="1:27" ht="12.7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row>
    <row r="683" spans="1:27" ht="12.7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row>
    <row r="684" spans="1:27" ht="12.7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row>
    <row r="685" spans="1:27" ht="12.7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row>
    <row r="686" spans="1:27" ht="12.7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row>
    <row r="687" spans="1:27" ht="12.7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row>
    <row r="688" spans="1:27" ht="12.7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row>
    <row r="689" spans="1:27" ht="12.7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row>
    <row r="690" spans="1:27" ht="12.7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row>
    <row r="691" spans="1:27" ht="12.7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row>
    <row r="692" spans="1:27" ht="12.7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row>
    <row r="693" spans="1:27" ht="12.7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row>
    <row r="694" spans="1:27" ht="12.7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row>
    <row r="695" spans="1:27" ht="12.7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row>
    <row r="696" spans="1:27" ht="12.7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row>
    <row r="697" spans="1:27" ht="12.7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row>
    <row r="698" spans="1:27" ht="12.7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row>
    <row r="699" spans="1:27" ht="12.7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row>
    <row r="700" spans="1:27" ht="12.7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row>
    <row r="701" spans="1:27" ht="12.7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row>
    <row r="702" spans="1:27" ht="12.7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row>
    <row r="703" spans="1:27" ht="12.7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row>
    <row r="704" spans="1:27" ht="12.7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row>
    <row r="705" spans="1:27" ht="12.7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row>
    <row r="706" spans="1:27" ht="12.7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row>
    <row r="707" spans="1:27" ht="12.7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row>
    <row r="708" spans="1:27" ht="12.7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row>
    <row r="709" spans="1:27" ht="12.7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row>
    <row r="710" spans="1:27" ht="12.7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row>
    <row r="711" spans="1:27" ht="12.7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row>
    <row r="712" spans="1:27" ht="12.7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row>
    <row r="713" spans="1:27" ht="12.7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row>
    <row r="714" spans="1:27" ht="12.7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row>
    <row r="715" spans="1:27" ht="12.7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row>
    <row r="716" spans="1:27" ht="12.7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row>
    <row r="717" spans="1:27" ht="12.7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row>
    <row r="718" spans="1:27" ht="12.7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row>
    <row r="719" spans="1:27" ht="12.7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row>
    <row r="720" spans="1:27" ht="12.7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row>
    <row r="721" spans="1:27" ht="12.7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row>
    <row r="722" spans="1:27" ht="12.7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row>
    <row r="723" spans="1:27" ht="12.7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row>
    <row r="724" spans="1:27" ht="12.7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row>
    <row r="725" spans="1:27" ht="12.7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row>
    <row r="726" spans="1:27" ht="12.7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row>
    <row r="727" spans="1:27" ht="12.7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row>
    <row r="728" spans="1:27" ht="12.7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row>
    <row r="729" spans="1:27" ht="12.7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row>
    <row r="730" spans="1:27" ht="12.7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row>
    <row r="731" spans="1:27" ht="12.7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row>
    <row r="732" spans="1:27" ht="12.7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row>
    <row r="733" spans="1:27" ht="12.7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row>
    <row r="734" spans="1:27" ht="12.7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row>
    <row r="735" spans="1:27" ht="12.7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row>
    <row r="736" spans="1:27" ht="12.7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row>
    <row r="737" spans="1:27" ht="12.7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row>
    <row r="738" spans="1:27" ht="12.7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row>
    <row r="739" spans="1:27" ht="12.7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row>
    <row r="740" spans="1:27" ht="12.7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row>
    <row r="741" spans="1:27" ht="12.7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row>
    <row r="742" spans="1:27" ht="12.7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row>
    <row r="743" spans="1:27" ht="12.7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row>
    <row r="744" spans="1:27" ht="12.7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row>
    <row r="745" spans="1:27" ht="12.7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row>
    <row r="746" spans="1:27" ht="12.7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row>
    <row r="747" spans="1:27" ht="12.7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row>
    <row r="748" spans="1:27" ht="12.7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row>
    <row r="749" spans="1:27" ht="12.7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row>
    <row r="750" spans="1:27" ht="12.7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row>
    <row r="751" spans="1:27" ht="12.7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row>
    <row r="752" spans="1:27" ht="12.7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row>
    <row r="753" spans="1:27" ht="12.7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row>
    <row r="754" spans="1:27" ht="12.7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row>
    <row r="755" spans="1:27" ht="12.7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row>
    <row r="756" spans="1:27" ht="12.7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row>
    <row r="757" spans="1:27" ht="12.7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row>
    <row r="758" spans="1:27" ht="12.7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row>
    <row r="759" spans="1:27" ht="12.7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row>
    <row r="760" spans="1:27" ht="12.7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row>
    <row r="761" spans="1:27" ht="12.7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row>
    <row r="762" spans="1:27" ht="12.7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row>
    <row r="763" spans="1:27" ht="12.7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row>
    <row r="764" spans="1:27" ht="12.7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row>
    <row r="765" spans="1:27" ht="12.7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row>
    <row r="766" spans="1:27" ht="12.7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row>
    <row r="767" spans="1:27" ht="12.7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row>
    <row r="768" spans="1:27" ht="12.7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row>
    <row r="769" spans="1:27" ht="12.7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row>
    <row r="770" spans="1:27" ht="12.7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row>
    <row r="771" spans="1:27" ht="12.7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row>
    <row r="772" spans="1:27" ht="12.7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row>
    <row r="773" spans="1:27" ht="12.7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row>
    <row r="774" spans="1:27" ht="12.7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row>
    <row r="775" spans="1:27" ht="12.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row>
    <row r="776" spans="1:27" ht="12.7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row>
    <row r="777" spans="1:27" ht="12.7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row>
    <row r="778" spans="1:27" ht="12.7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row>
    <row r="779" spans="1:27" ht="12.7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row>
    <row r="780" spans="1:27" ht="12.7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row>
    <row r="781" spans="1:27" ht="12.7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row>
    <row r="782" spans="1:27" ht="12.7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row>
    <row r="783" spans="1:27" ht="12.7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row>
    <row r="784" spans="1:27" ht="12.7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row>
    <row r="785" spans="1:27" ht="12.7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row>
    <row r="786" spans="1:27" ht="12.7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row>
    <row r="787" spans="1:27" ht="12.7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row>
    <row r="788" spans="1:27" ht="12.7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row>
    <row r="789" spans="1:27" ht="12.7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row>
    <row r="790" spans="1:27" ht="12.7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row>
    <row r="791" spans="1:27" ht="12.7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row>
    <row r="792" spans="1:27" ht="12.7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row>
    <row r="793" spans="1:27" ht="12.7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row>
    <row r="794" spans="1:27" ht="12.7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row>
    <row r="795" spans="1:27" ht="12.7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row>
    <row r="796" spans="1:27" ht="12.7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row>
    <row r="797" spans="1:27" ht="12.7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row>
    <row r="798" spans="1:27" ht="12.7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row>
    <row r="799" spans="1:27" ht="12.7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row>
    <row r="800" spans="1:27" ht="12.7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row>
    <row r="801" spans="1:27" ht="12.7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row>
    <row r="802" spans="1:27" ht="12.7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row>
    <row r="803" spans="1:27" ht="12.7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row>
    <row r="804" spans="1:27" ht="12.7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row>
    <row r="805" spans="1:27" ht="12.7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row>
    <row r="806" spans="1:27" ht="12.7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row>
    <row r="807" spans="1:27" ht="12.7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row>
    <row r="808" spans="1:27" ht="12.7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row>
    <row r="809" spans="1:27" ht="12.7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row>
    <row r="810" spans="1:27" ht="12.7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row>
    <row r="811" spans="1:27" ht="12.7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row>
    <row r="812" spans="1:27" ht="12.7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row>
    <row r="813" spans="1:27" ht="12.7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row>
    <row r="814" spans="1:27" ht="12.7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row>
    <row r="815" spans="1:27" ht="12.7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row>
    <row r="816" spans="1:27" ht="12.7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row>
    <row r="817" spans="1:27" ht="12.7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row>
    <row r="818" spans="1:27" ht="12.7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row>
    <row r="819" spans="1:27" ht="12.7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row>
    <row r="820" spans="1:27" ht="12.7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row>
    <row r="821" spans="1:27" ht="12.7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row>
    <row r="822" spans="1:27" ht="12.7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row>
    <row r="823" spans="1:27" ht="12.7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row>
    <row r="824" spans="1:27" ht="12.7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row>
    <row r="825" spans="1:27" ht="12.7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row>
    <row r="826" spans="1:27" ht="12.7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row>
    <row r="827" spans="1:27" ht="12.7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row>
    <row r="828" spans="1:27" ht="12.7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row>
    <row r="829" spans="1:27" ht="12.7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row>
    <row r="830" spans="1:27" ht="12.7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row>
    <row r="831" spans="1:27" ht="12.7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row>
    <row r="832" spans="1:27" ht="12.7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row>
    <row r="833" spans="1:27" ht="12.7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row>
    <row r="834" spans="1:27" ht="12.7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row>
    <row r="835" spans="1:27" ht="12.7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row>
    <row r="836" spans="1:27" ht="12.7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row>
    <row r="837" spans="1:27" ht="12.7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row>
    <row r="838" spans="1:27" ht="12.7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row>
    <row r="839" spans="1:27" ht="12.7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row>
    <row r="840" spans="1:27" ht="12.7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row>
    <row r="841" spans="1:27" ht="12.7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row>
    <row r="842" spans="1:27" ht="12.7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row>
    <row r="843" spans="1:27" ht="12.7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row>
    <row r="844" spans="1:27" ht="12.7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row>
    <row r="845" spans="1:27" ht="12.7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row>
    <row r="846" spans="1:27" ht="12.7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row>
    <row r="847" spans="1:27" ht="12.7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row>
    <row r="848" spans="1:27" ht="12.7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row>
    <row r="849" spans="1:27" ht="12.7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row>
    <row r="850" spans="1:27" ht="12.7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row>
    <row r="851" spans="1:27" ht="12.7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row>
    <row r="852" spans="1:27" ht="12.7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row>
    <row r="853" spans="1:27" ht="12.7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row>
    <row r="854" spans="1:27" ht="12.7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row>
    <row r="855" spans="1:27" ht="12.7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row>
    <row r="856" spans="1:27" ht="12.7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row>
    <row r="857" spans="1:27" ht="12.7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row>
    <row r="858" spans="1:27" ht="12.7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row>
    <row r="859" spans="1:27" ht="12.7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row>
    <row r="860" spans="1:27" ht="12.7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row>
    <row r="861" spans="1:27" ht="12.7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row>
    <row r="862" spans="1:27" ht="12.7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row>
    <row r="863" spans="1:27" ht="12.7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row>
    <row r="864" spans="1:27" ht="12.7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row>
    <row r="865" spans="1:27" ht="12.7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row>
    <row r="866" spans="1:27" ht="12.7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row>
    <row r="867" spans="1:27" ht="12.7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row>
    <row r="868" spans="1:27" ht="12.7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row>
    <row r="869" spans="1:27" ht="12.7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row>
    <row r="870" spans="1:27" ht="12.7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row>
    <row r="871" spans="1:27" ht="12.7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row>
    <row r="872" spans="1:27" ht="12.7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row>
    <row r="873" spans="1:27" ht="12.7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row>
    <row r="874" spans="1:27" ht="12.7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row>
    <row r="875" spans="1:27" ht="12.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row>
    <row r="876" spans="1:27" ht="12.7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row>
    <row r="877" spans="1:27" ht="12.7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row>
    <row r="878" spans="1:27" ht="12.7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row>
    <row r="879" spans="1:27" ht="12.7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row>
    <row r="880" spans="1:27" ht="12.7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row>
    <row r="881" spans="1:27" ht="12.7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row>
    <row r="882" spans="1:27" ht="12.7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row>
    <row r="883" spans="1:27" ht="12.7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row>
    <row r="884" spans="1:27" ht="12.7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row>
    <row r="885" spans="1:27" ht="12.7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row>
    <row r="886" spans="1:27" ht="12.7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row>
    <row r="887" spans="1:27" ht="12.7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row>
    <row r="888" spans="1:27" ht="12.7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row>
    <row r="889" spans="1:27" ht="12.7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row>
    <row r="890" spans="1:27" ht="12.7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row>
    <row r="891" spans="1:27" ht="12.7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row>
    <row r="892" spans="1:27" ht="12.7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row>
    <row r="893" spans="1:27" ht="12.7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row>
    <row r="894" spans="1:27" ht="12.7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row>
    <row r="895" spans="1:27" ht="12.7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row>
    <row r="896" spans="1:27" ht="12.7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row>
    <row r="897" spans="1:27" ht="12.7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row>
    <row r="898" spans="1:27" ht="12.7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row>
    <row r="899" spans="1:27" ht="12.7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row>
    <row r="900" spans="1:27" ht="12.7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row>
    <row r="901" spans="1:27" ht="12.7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row>
    <row r="902" spans="1:27" ht="12.7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row>
    <row r="903" spans="1:27" ht="12.7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row>
    <row r="904" spans="1:27" ht="12.7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row>
    <row r="905" spans="1:27" ht="12.7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row>
    <row r="906" spans="1:27" ht="12.7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row>
    <row r="907" spans="1:27" ht="12.7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row>
    <row r="908" spans="1:27" ht="12.7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row>
    <row r="909" spans="1:27" ht="12.7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row>
    <row r="910" spans="1:27" ht="12.7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row>
    <row r="911" spans="1:27" ht="12.7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row>
    <row r="912" spans="1:27" ht="12.7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row>
    <row r="913" spans="1:27" ht="12.7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row>
    <row r="914" spans="1:27" ht="12.7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row>
    <row r="915" spans="1:27" ht="12.7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row>
    <row r="916" spans="1:27" ht="12.7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row>
    <row r="917" spans="1:27" ht="12.7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row>
    <row r="918" spans="1:27" ht="12.7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row>
    <row r="919" spans="1:27" ht="12.7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row>
    <row r="920" spans="1:27" ht="12.7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row>
    <row r="921" spans="1:27" ht="12.7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row>
    <row r="922" spans="1:27" ht="12.7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row>
    <row r="923" spans="1:27" ht="12.7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row>
    <row r="924" spans="1:27" ht="12.7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row>
    <row r="925" spans="1:27" ht="12.7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row>
    <row r="926" spans="1:27" ht="12.7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row>
    <row r="927" spans="1:27" ht="12.7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row>
    <row r="928" spans="1:27" ht="12.7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row>
    <row r="929" spans="1:27" ht="12.7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row>
    <row r="930" spans="1:27" ht="12.7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row>
    <row r="931" spans="1:27" ht="12.7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row>
    <row r="932" spans="1:27" ht="12.7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row>
    <row r="933" spans="1:27" ht="12.7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row>
    <row r="934" spans="1:27" ht="12.7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row>
    <row r="935" spans="1:27" ht="12.7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row>
    <row r="936" spans="1:27" ht="12.7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row>
    <row r="937" spans="1:27" ht="12.7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row>
    <row r="938" spans="1:27" ht="12.7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row>
    <row r="939" spans="1:27" ht="12.7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row>
    <row r="940" spans="1:27" ht="12.7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row>
    <row r="941" spans="1:27" ht="12.7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row>
    <row r="942" spans="1:27" ht="12.7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row>
    <row r="943" spans="1:27" ht="12.7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row>
    <row r="944" spans="1:27" ht="12.7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row>
    <row r="945" spans="1:27" ht="12.7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row>
    <row r="946" spans="1:27" ht="12.7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row>
    <row r="947" spans="1:27" ht="12.7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row>
    <row r="948" spans="1:27" ht="12.7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row>
    <row r="949" spans="1:27" ht="12.7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row>
    <row r="950" spans="1:27" ht="12.7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row>
    <row r="951" spans="1:27" ht="12.7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row>
    <row r="952" spans="1:27" ht="12.7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row>
    <row r="953" spans="1:27" ht="12.7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row>
    <row r="954" spans="1:27" ht="12.7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row>
    <row r="955" spans="1:27" ht="12.7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row>
    <row r="956" spans="1:27" ht="12.7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row>
    <row r="957" spans="1:27" ht="12.7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row>
    <row r="958" spans="1:27" ht="12.7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row>
    <row r="959" spans="1:27" ht="12.7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row>
  </sheetData>
  <mergeCells count="10">
    <mergeCell ref="K44:Q53"/>
    <mergeCell ref="A56:G56"/>
    <mergeCell ref="B57:I57"/>
    <mergeCell ref="A12:D12"/>
    <mergeCell ref="A14:B14"/>
    <mergeCell ref="C14:I14"/>
    <mergeCell ref="J14:J15"/>
    <mergeCell ref="K14:Q14"/>
    <mergeCell ref="K23:Q31"/>
    <mergeCell ref="K34:Q42"/>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AA48"/>
  <sheetViews>
    <sheetView workbookViewId="0"/>
  </sheetViews>
  <sheetFormatPr defaultColWidth="12.5703125" defaultRowHeight="15.75" customHeight="1"/>
  <cols>
    <col min="1" max="1" width="4.85546875" customWidth="1"/>
    <col min="2" max="2" width="48.42578125" customWidth="1"/>
    <col min="6" max="6" width="12" customWidth="1"/>
    <col min="17" max="17" width="15" customWidth="1"/>
  </cols>
  <sheetData>
    <row r="1" spans="1:27">
      <c r="A1" s="11" t="s">
        <v>11</v>
      </c>
      <c r="B1" s="433" t="s">
        <v>12</v>
      </c>
      <c r="C1" s="11" t="s">
        <v>3</v>
      </c>
      <c r="D1" s="11" t="s">
        <v>13</v>
      </c>
      <c r="E1" s="11" t="s">
        <v>4</v>
      </c>
      <c r="F1" s="12"/>
      <c r="G1" s="12"/>
      <c r="H1" s="12"/>
      <c r="I1" s="12"/>
    </row>
    <row r="2" spans="1:27">
      <c r="A2" s="13">
        <v>1</v>
      </c>
      <c r="B2" s="387" t="s">
        <v>14</v>
      </c>
      <c r="C2" s="15">
        <v>16</v>
      </c>
      <c r="D2" s="15">
        <v>30</v>
      </c>
      <c r="E2" s="15">
        <f t="shared" ref="E2:E11" si="0">D2*C2</f>
        <v>480</v>
      </c>
      <c r="F2" s="16"/>
      <c r="G2" s="12"/>
      <c r="H2" s="12"/>
      <c r="I2" s="12"/>
    </row>
    <row r="3" spans="1:27">
      <c r="A3" s="13">
        <v>2</v>
      </c>
      <c r="B3" s="387" t="s">
        <v>15</v>
      </c>
      <c r="C3" s="17">
        <v>71</v>
      </c>
      <c r="D3" s="17">
        <v>25</v>
      </c>
      <c r="E3" s="17">
        <f t="shared" si="0"/>
        <v>1775</v>
      </c>
      <c r="F3" s="16"/>
      <c r="G3" s="12"/>
      <c r="H3" s="8"/>
      <c r="I3" s="12"/>
    </row>
    <row r="4" spans="1:27">
      <c r="A4" s="13">
        <v>3</v>
      </c>
      <c r="B4" s="387" t="s">
        <v>16</v>
      </c>
      <c r="C4" s="17">
        <v>20</v>
      </c>
      <c r="D4" s="17">
        <v>25</v>
      </c>
      <c r="E4" s="17">
        <f t="shared" si="0"/>
        <v>500</v>
      </c>
      <c r="F4" s="12"/>
      <c r="G4" s="12"/>
      <c r="H4" s="12"/>
      <c r="I4" s="12"/>
    </row>
    <row r="5" spans="1:27">
      <c r="A5" s="13">
        <v>4</v>
      </c>
      <c r="B5" s="388" t="s">
        <v>17</v>
      </c>
      <c r="C5" s="19">
        <v>26</v>
      </c>
      <c r="D5" s="19">
        <v>50</v>
      </c>
      <c r="E5" s="19">
        <f t="shared" si="0"/>
        <v>1300</v>
      </c>
      <c r="F5" s="16"/>
      <c r="G5" s="12"/>
      <c r="H5" s="12"/>
      <c r="I5" s="12"/>
    </row>
    <row r="6" spans="1:27">
      <c r="A6" s="13">
        <v>5</v>
      </c>
      <c r="B6" s="389" t="s">
        <v>18</v>
      </c>
      <c r="C6" s="21">
        <v>89.5</v>
      </c>
      <c r="D6" s="21">
        <v>40</v>
      </c>
      <c r="E6" s="21">
        <f t="shared" si="0"/>
        <v>3580</v>
      </c>
      <c r="F6" s="16"/>
      <c r="G6" s="12"/>
      <c r="H6" s="12"/>
      <c r="I6" s="12"/>
    </row>
    <row r="7" spans="1:27">
      <c r="A7" s="13">
        <v>6</v>
      </c>
      <c r="B7" s="389" t="s">
        <v>19</v>
      </c>
      <c r="C7" s="22">
        <v>30</v>
      </c>
      <c r="D7" s="22">
        <v>40</v>
      </c>
      <c r="E7" s="22">
        <f t="shared" si="0"/>
        <v>1200</v>
      </c>
      <c r="F7" s="16"/>
      <c r="G7" s="12"/>
      <c r="H7" s="12"/>
      <c r="I7" s="12"/>
    </row>
    <row r="8" spans="1:27">
      <c r="A8" s="13">
        <v>7</v>
      </c>
      <c r="B8" s="389" t="s">
        <v>350</v>
      </c>
      <c r="C8" s="21">
        <v>42</v>
      </c>
      <c r="D8" s="21">
        <v>40</v>
      </c>
      <c r="E8" s="21">
        <f t="shared" si="0"/>
        <v>1680</v>
      </c>
      <c r="F8" s="12"/>
      <c r="G8" s="12"/>
      <c r="H8" s="12"/>
      <c r="I8" s="12"/>
    </row>
    <row r="9" spans="1:27">
      <c r="A9" s="13">
        <v>8</v>
      </c>
      <c r="B9" s="390" t="s">
        <v>20</v>
      </c>
      <c r="C9" s="25"/>
      <c r="D9" s="24">
        <v>35</v>
      </c>
      <c r="E9" s="24">
        <f t="shared" si="0"/>
        <v>0</v>
      </c>
      <c r="F9" s="12"/>
      <c r="G9" s="12"/>
      <c r="H9" s="12"/>
      <c r="I9" s="12"/>
    </row>
    <row r="10" spans="1:27">
      <c r="A10" s="13">
        <v>9</v>
      </c>
      <c r="B10" s="390" t="s">
        <v>20</v>
      </c>
      <c r="C10" s="23"/>
      <c r="D10" s="26">
        <v>35</v>
      </c>
      <c r="E10" s="24">
        <f t="shared" si="0"/>
        <v>0</v>
      </c>
      <c r="F10" s="12"/>
      <c r="G10" s="12"/>
      <c r="H10" s="12"/>
      <c r="I10" s="12"/>
    </row>
    <row r="11" spans="1:27">
      <c r="A11" s="50">
        <v>10</v>
      </c>
      <c r="B11" s="427" t="s">
        <v>21</v>
      </c>
      <c r="C11" s="25"/>
      <c r="D11" s="24">
        <v>25</v>
      </c>
      <c r="E11" s="24">
        <f t="shared" si="0"/>
        <v>0</v>
      </c>
      <c r="F11" s="12"/>
      <c r="G11" s="12"/>
      <c r="H11" s="12"/>
      <c r="I11" s="12"/>
    </row>
    <row r="12" spans="1:27">
      <c r="A12" s="474"/>
      <c r="B12" s="475"/>
      <c r="C12" s="475"/>
      <c r="D12" s="476"/>
      <c r="E12" s="27">
        <f>SUM(E2:E11)</f>
        <v>10515</v>
      </c>
      <c r="F12" s="12"/>
      <c r="G12" s="391"/>
      <c r="H12" s="12"/>
      <c r="I12" s="12"/>
    </row>
    <row r="13" spans="1:27">
      <c r="A13" s="477"/>
      <c r="B13" s="478"/>
      <c r="C13" s="479" t="s">
        <v>22</v>
      </c>
      <c r="D13" s="480"/>
      <c r="E13" s="480"/>
      <c r="F13" s="480"/>
      <c r="G13" s="480"/>
      <c r="H13" s="480"/>
      <c r="I13" s="478"/>
      <c r="J13" s="481" t="s">
        <v>5</v>
      </c>
      <c r="K13" s="483" t="s">
        <v>23</v>
      </c>
      <c r="L13" s="480"/>
      <c r="M13" s="480"/>
      <c r="N13" s="480"/>
      <c r="O13" s="480"/>
      <c r="P13" s="480"/>
      <c r="Q13" s="478"/>
    </row>
    <row r="14" spans="1:27">
      <c r="A14" s="434" t="s">
        <v>11</v>
      </c>
      <c r="B14" s="434" t="s">
        <v>0</v>
      </c>
      <c r="C14" s="434" t="s">
        <v>24</v>
      </c>
      <c r="D14" s="435" t="s">
        <v>25</v>
      </c>
      <c r="E14" s="434" t="s">
        <v>26</v>
      </c>
      <c r="F14" s="434" t="s">
        <v>27</v>
      </c>
      <c r="G14" s="434" t="s">
        <v>28</v>
      </c>
      <c r="H14" s="434" t="s">
        <v>21</v>
      </c>
      <c r="I14" s="436" t="s">
        <v>29</v>
      </c>
      <c r="J14" s="482"/>
      <c r="K14" s="437" t="s">
        <v>24</v>
      </c>
      <c r="L14" s="437" t="s">
        <v>25</v>
      </c>
      <c r="M14" s="437" t="s">
        <v>26</v>
      </c>
      <c r="N14" s="437" t="s">
        <v>27</v>
      </c>
      <c r="O14" s="437" t="s">
        <v>28</v>
      </c>
      <c r="P14" s="437" t="s">
        <v>21</v>
      </c>
      <c r="Q14" s="438" t="s">
        <v>30</v>
      </c>
      <c r="R14" s="114"/>
      <c r="S14" s="114"/>
      <c r="T14" s="114"/>
      <c r="U14" s="114"/>
      <c r="V14" s="114"/>
      <c r="W14" s="114"/>
      <c r="X14" s="114"/>
      <c r="Y14" s="114"/>
      <c r="Z14" s="114"/>
      <c r="AA14" s="114"/>
    </row>
    <row r="15" spans="1:27">
      <c r="A15" s="439">
        <v>1</v>
      </c>
      <c r="B15" s="147" t="s">
        <v>605</v>
      </c>
      <c r="C15" s="440"/>
      <c r="D15" s="440"/>
      <c r="E15" s="440"/>
      <c r="F15" s="440"/>
      <c r="G15" s="440"/>
      <c r="H15" s="440"/>
      <c r="I15" s="397">
        <f t="shared" ref="I15:I47" si="1">C15*25+D15*30+E15*50+F15*40+G15*35+H15*25</f>
        <v>0</v>
      </c>
      <c r="J15" s="430" t="s">
        <v>31</v>
      </c>
      <c r="K15" s="34"/>
      <c r="L15" s="34"/>
      <c r="M15" s="34"/>
      <c r="N15" s="34"/>
      <c r="O15" s="34"/>
      <c r="P15" s="34"/>
      <c r="Q15" s="397">
        <f t="shared" ref="Q15:Q47" si="2">K15*25+L15*30+M15*50+N15*40+O15*40+P15*25</f>
        <v>0</v>
      </c>
    </row>
    <row r="16" spans="1:27">
      <c r="A16" s="392" t="s">
        <v>32</v>
      </c>
      <c r="B16" s="42" t="s">
        <v>740</v>
      </c>
      <c r="C16" s="351"/>
      <c r="D16" s="351"/>
      <c r="E16" s="351"/>
      <c r="F16" s="398">
        <v>5</v>
      </c>
      <c r="G16" s="351"/>
      <c r="H16" s="351"/>
      <c r="I16" s="397">
        <f t="shared" si="1"/>
        <v>200</v>
      </c>
      <c r="J16" s="430" t="s">
        <v>31</v>
      </c>
      <c r="K16" s="34"/>
      <c r="L16" s="34"/>
      <c r="M16" s="34"/>
      <c r="N16" s="33">
        <v>18</v>
      </c>
      <c r="O16" s="34"/>
      <c r="P16" s="34"/>
      <c r="Q16" s="397">
        <f t="shared" si="2"/>
        <v>720</v>
      </c>
    </row>
    <row r="17" spans="1:17">
      <c r="A17" s="392" t="s">
        <v>32</v>
      </c>
      <c r="B17" s="42" t="s">
        <v>741</v>
      </c>
      <c r="C17" s="351"/>
      <c r="D17" s="351"/>
      <c r="E17" s="351"/>
      <c r="F17" s="398">
        <v>0</v>
      </c>
      <c r="G17" s="351"/>
      <c r="H17" s="351"/>
      <c r="I17" s="397">
        <f t="shared" si="1"/>
        <v>0</v>
      </c>
      <c r="J17" s="430" t="s">
        <v>742</v>
      </c>
      <c r="K17" s="34"/>
      <c r="L17" s="34"/>
      <c r="M17" s="34"/>
      <c r="N17" s="33">
        <v>12</v>
      </c>
      <c r="O17" s="34"/>
      <c r="P17" s="34"/>
      <c r="Q17" s="397">
        <f t="shared" si="2"/>
        <v>480</v>
      </c>
    </row>
    <row r="18" spans="1:17">
      <c r="A18" s="392" t="s">
        <v>32</v>
      </c>
      <c r="B18" s="42" t="s">
        <v>743</v>
      </c>
      <c r="C18" s="351"/>
      <c r="D18" s="351"/>
      <c r="E18" s="351"/>
      <c r="F18" s="398">
        <v>0</v>
      </c>
      <c r="G18" s="351"/>
      <c r="H18" s="351"/>
      <c r="I18" s="397">
        <f t="shared" si="1"/>
        <v>0</v>
      </c>
      <c r="J18" s="430" t="s">
        <v>742</v>
      </c>
      <c r="K18" s="34"/>
      <c r="L18" s="34"/>
      <c r="M18" s="34"/>
      <c r="N18" s="33">
        <v>5</v>
      </c>
      <c r="O18" s="34"/>
      <c r="P18" s="34"/>
      <c r="Q18" s="397">
        <f t="shared" si="2"/>
        <v>200</v>
      </c>
    </row>
    <row r="19" spans="1:17">
      <c r="A19" s="441">
        <v>2</v>
      </c>
      <c r="B19" s="282" t="s">
        <v>744</v>
      </c>
      <c r="C19" s="351"/>
      <c r="D19" s="351"/>
      <c r="E19" s="351"/>
      <c r="F19" s="351"/>
      <c r="G19" s="351"/>
      <c r="H19" s="351"/>
      <c r="I19" s="397">
        <f t="shared" si="1"/>
        <v>0</v>
      </c>
      <c r="J19" s="430" t="s">
        <v>31</v>
      </c>
      <c r="K19" s="34"/>
      <c r="L19" s="33">
        <v>2</v>
      </c>
      <c r="M19" s="33">
        <v>8</v>
      </c>
      <c r="N19" s="33">
        <v>70</v>
      </c>
      <c r="O19" s="34"/>
      <c r="P19" s="34"/>
      <c r="Q19" s="397">
        <f t="shared" si="2"/>
        <v>3260</v>
      </c>
    </row>
    <row r="20" spans="1:17">
      <c r="A20" s="373" t="s">
        <v>32</v>
      </c>
      <c r="B20" s="298" t="s">
        <v>745</v>
      </c>
      <c r="C20" s="351"/>
      <c r="D20" s="398">
        <v>1</v>
      </c>
      <c r="E20" s="398">
        <v>5</v>
      </c>
      <c r="F20" s="398">
        <v>22</v>
      </c>
      <c r="G20" s="351"/>
      <c r="H20" s="351"/>
      <c r="I20" s="397">
        <f t="shared" si="1"/>
        <v>1160</v>
      </c>
      <c r="J20" s="430" t="s">
        <v>31</v>
      </c>
      <c r="K20" s="484"/>
      <c r="L20" s="485"/>
      <c r="M20" s="485"/>
      <c r="N20" s="485"/>
      <c r="O20" s="485"/>
      <c r="P20" s="486"/>
      <c r="Q20" s="397">
        <f t="shared" si="2"/>
        <v>0</v>
      </c>
    </row>
    <row r="21" spans="1:17">
      <c r="A21" s="402" t="s">
        <v>32</v>
      </c>
      <c r="B21" s="298" t="s">
        <v>746</v>
      </c>
      <c r="C21" s="351"/>
      <c r="D21" s="351"/>
      <c r="E21" s="398">
        <v>6</v>
      </c>
      <c r="F21" s="398">
        <v>18.5</v>
      </c>
      <c r="G21" s="351"/>
      <c r="H21" s="351"/>
      <c r="I21" s="397">
        <f t="shared" si="1"/>
        <v>1040</v>
      </c>
      <c r="J21" s="430" t="s">
        <v>31</v>
      </c>
      <c r="K21" s="487"/>
      <c r="L21" s="488"/>
      <c r="M21" s="488"/>
      <c r="N21" s="488"/>
      <c r="O21" s="488"/>
      <c r="P21" s="489"/>
      <c r="Q21" s="397">
        <f t="shared" si="2"/>
        <v>0</v>
      </c>
    </row>
    <row r="22" spans="1:17">
      <c r="A22" s="402" t="s">
        <v>32</v>
      </c>
      <c r="B22" s="298" t="s">
        <v>747</v>
      </c>
      <c r="C22" s="351"/>
      <c r="D22" s="351"/>
      <c r="E22" s="351"/>
      <c r="F22" s="398">
        <v>7.5</v>
      </c>
      <c r="G22" s="351"/>
      <c r="H22" s="351"/>
      <c r="I22" s="397">
        <f t="shared" si="1"/>
        <v>300</v>
      </c>
      <c r="J22" s="430" t="s">
        <v>31</v>
      </c>
      <c r="K22" s="487"/>
      <c r="L22" s="488"/>
      <c r="M22" s="488"/>
      <c r="N22" s="488"/>
      <c r="O22" s="488"/>
      <c r="P22" s="489"/>
      <c r="Q22" s="397">
        <f t="shared" si="2"/>
        <v>0</v>
      </c>
    </row>
    <row r="23" spans="1:17">
      <c r="A23" s="402" t="s">
        <v>32</v>
      </c>
      <c r="B23" s="298" t="s">
        <v>748</v>
      </c>
      <c r="C23" s="351"/>
      <c r="D23" s="351"/>
      <c r="E23" s="351"/>
      <c r="F23" s="398">
        <v>3.5</v>
      </c>
      <c r="G23" s="351"/>
      <c r="H23" s="351"/>
      <c r="I23" s="397">
        <f t="shared" si="1"/>
        <v>140</v>
      </c>
      <c r="J23" s="430" t="s">
        <v>31</v>
      </c>
      <c r="K23" s="487"/>
      <c r="L23" s="488"/>
      <c r="M23" s="488"/>
      <c r="N23" s="488"/>
      <c r="O23" s="488"/>
      <c r="P23" s="489"/>
      <c r="Q23" s="397">
        <f t="shared" si="2"/>
        <v>0</v>
      </c>
    </row>
    <row r="24" spans="1:17">
      <c r="A24" s="373" t="s">
        <v>32</v>
      </c>
      <c r="B24" s="42" t="s">
        <v>749</v>
      </c>
      <c r="C24" s="351"/>
      <c r="D24" s="351"/>
      <c r="E24" s="351"/>
      <c r="F24" s="398">
        <v>1</v>
      </c>
      <c r="G24" s="351"/>
      <c r="H24" s="351"/>
      <c r="I24" s="397">
        <f t="shared" si="1"/>
        <v>40</v>
      </c>
      <c r="J24" s="430" t="s">
        <v>31</v>
      </c>
      <c r="K24" s="487"/>
      <c r="L24" s="488"/>
      <c r="M24" s="488"/>
      <c r="N24" s="488"/>
      <c r="O24" s="488"/>
      <c r="P24" s="489"/>
      <c r="Q24" s="397">
        <f t="shared" si="2"/>
        <v>0</v>
      </c>
    </row>
    <row r="25" spans="1:17">
      <c r="A25" s="373" t="s">
        <v>32</v>
      </c>
      <c r="B25" s="42" t="s">
        <v>750</v>
      </c>
      <c r="C25" s="351"/>
      <c r="D25" s="351"/>
      <c r="E25" s="351"/>
      <c r="F25" s="398">
        <v>1</v>
      </c>
      <c r="G25" s="351"/>
      <c r="H25" s="351"/>
      <c r="I25" s="397">
        <f t="shared" si="1"/>
        <v>40</v>
      </c>
      <c r="J25" s="430" t="s">
        <v>31</v>
      </c>
      <c r="K25" s="487"/>
      <c r="L25" s="488"/>
      <c r="M25" s="488"/>
      <c r="N25" s="488"/>
      <c r="O25" s="488"/>
      <c r="P25" s="489"/>
      <c r="Q25" s="397">
        <f t="shared" si="2"/>
        <v>0</v>
      </c>
    </row>
    <row r="26" spans="1:17">
      <c r="A26" s="373" t="s">
        <v>32</v>
      </c>
      <c r="B26" s="42" t="s">
        <v>751</v>
      </c>
      <c r="C26" s="351"/>
      <c r="D26" s="351"/>
      <c r="E26" s="351"/>
      <c r="F26" s="398">
        <v>1.5</v>
      </c>
      <c r="G26" s="351"/>
      <c r="H26" s="351"/>
      <c r="I26" s="397">
        <f t="shared" si="1"/>
        <v>60</v>
      </c>
      <c r="J26" s="430" t="s">
        <v>31</v>
      </c>
      <c r="K26" s="487"/>
      <c r="L26" s="488"/>
      <c r="M26" s="488"/>
      <c r="N26" s="488"/>
      <c r="O26" s="488"/>
      <c r="P26" s="489"/>
      <c r="Q26" s="397">
        <f t="shared" si="2"/>
        <v>0</v>
      </c>
    </row>
    <row r="27" spans="1:17">
      <c r="A27" s="373" t="s">
        <v>32</v>
      </c>
      <c r="B27" s="42" t="s">
        <v>752</v>
      </c>
      <c r="C27" s="351"/>
      <c r="D27" s="351"/>
      <c r="E27" s="398">
        <v>1</v>
      </c>
      <c r="F27" s="398">
        <v>8.5</v>
      </c>
      <c r="G27" s="351"/>
      <c r="H27" s="351"/>
      <c r="I27" s="397">
        <f t="shared" si="1"/>
        <v>390</v>
      </c>
      <c r="J27" s="430" t="s">
        <v>31</v>
      </c>
      <c r="K27" s="487"/>
      <c r="L27" s="488"/>
      <c r="M27" s="488"/>
      <c r="N27" s="488"/>
      <c r="O27" s="488"/>
      <c r="P27" s="489"/>
      <c r="Q27" s="397">
        <f t="shared" si="2"/>
        <v>0</v>
      </c>
    </row>
    <row r="28" spans="1:17">
      <c r="A28" s="373" t="s">
        <v>32</v>
      </c>
      <c r="B28" s="42" t="s">
        <v>753</v>
      </c>
      <c r="C28" s="351"/>
      <c r="D28" s="351"/>
      <c r="E28" s="351"/>
      <c r="F28" s="398">
        <v>5.5</v>
      </c>
      <c r="G28" s="351"/>
      <c r="H28" s="351"/>
      <c r="I28" s="397">
        <f t="shared" si="1"/>
        <v>220</v>
      </c>
      <c r="J28" s="430" t="s">
        <v>31</v>
      </c>
      <c r="K28" s="487"/>
      <c r="L28" s="488"/>
      <c r="M28" s="488"/>
      <c r="N28" s="488"/>
      <c r="O28" s="488"/>
      <c r="P28" s="489"/>
      <c r="Q28" s="397">
        <f t="shared" si="2"/>
        <v>0</v>
      </c>
    </row>
    <row r="29" spans="1:17">
      <c r="A29" s="373" t="s">
        <v>32</v>
      </c>
      <c r="B29" s="42" t="s">
        <v>754</v>
      </c>
      <c r="C29" s="351"/>
      <c r="D29" s="351"/>
      <c r="E29" s="398">
        <v>4</v>
      </c>
      <c r="F29" s="398">
        <v>13.5</v>
      </c>
      <c r="G29" s="351"/>
      <c r="H29" s="351"/>
      <c r="I29" s="397">
        <f t="shared" si="1"/>
        <v>740</v>
      </c>
      <c r="J29" s="430" t="s">
        <v>31</v>
      </c>
      <c r="K29" s="490"/>
      <c r="L29" s="491"/>
      <c r="M29" s="491"/>
      <c r="N29" s="491"/>
      <c r="O29" s="491"/>
      <c r="P29" s="492"/>
      <c r="Q29" s="397">
        <f t="shared" si="2"/>
        <v>0</v>
      </c>
    </row>
    <row r="30" spans="1:17">
      <c r="A30" s="442">
        <v>3</v>
      </c>
      <c r="B30" s="147" t="s">
        <v>35</v>
      </c>
      <c r="C30" s="398">
        <f>61-32</f>
        <v>29</v>
      </c>
      <c r="D30" s="398">
        <v>5</v>
      </c>
      <c r="E30" s="351"/>
      <c r="F30" s="351"/>
      <c r="G30" s="351"/>
      <c r="H30" s="351"/>
      <c r="I30" s="397">
        <f t="shared" si="1"/>
        <v>875</v>
      </c>
      <c r="J30" s="443" t="s">
        <v>31</v>
      </c>
      <c r="K30" s="33">
        <v>40</v>
      </c>
      <c r="L30" s="33">
        <v>5</v>
      </c>
      <c r="M30" s="34"/>
      <c r="N30" s="34"/>
      <c r="O30" s="34"/>
      <c r="P30" s="34"/>
      <c r="Q30" s="444">
        <f t="shared" si="2"/>
        <v>1150</v>
      </c>
    </row>
    <row r="31" spans="1:17">
      <c r="A31" s="445">
        <v>4</v>
      </c>
      <c r="B31" s="147" t="s">
        <v>726</v>
      </c>
      <c r="C31" s="517"/>
      <c r="D31" s="480"/>
      <c r="E31" s="480"/>
      <c r="F31" s="480"/>
      <c r="G31" s="478"/>
      <c r="H31" s="383"/>
      <c r="I31" s="397">
        <f t="shared" si="1"/>
        <v>0</v>
      </c>
      <c r="J31" s="430" t="s">
        <v>31</v>
      </c>
      <c r="K31" s="33">
        <v>50</v>
      </c>
      <c r="L31" s="33">
        <v>5</v>
      </c>
      <c r="M31" s="34"/>
      <c r="N31" s="34"/>
      <c r="O31" s="34"/>
      <c r="P31" s="34"/>
      <c r="Q31" s="397">
        <f t="shared" si="2"/>
        <v>1400</v>
      </c>
    </row>
    <row r="32" spans="1:17">
      <c r="A32" s="373" t="s">
        <v>32</v>
      </c>
      <c r="B32" s="42" t="s">
        <v>755</v>
      </c>
      <c r="C32" s="399">
        <v>7</v>
      </c>
      <c r="D32" s="399">
        <v>4</v>
      </c>
      <c r="E32" s="394"/>
      <c r="F32" s="394"/>
      <c r="G32" s="394"/>
      <c r="H32" s="394"/>
      <c r="I32" s="397">
        <f t="shared" si="1"/>
        <v>295</v>
      </c>
      <c r="J32" s="430" t="s">
        <v>31</v>
      </c>
      <c r="K32" s="484"/>
      <c r="L32" s="485"/>
      <c r="M32" s="485"/>
      <c r="N32" s="485"/>
      <c r="O32" s="485"/>
      <c r="P32" s="486"/>
      <c r="Q32" s="397">
        <f t="shared" si="2"/>
        <v>0</v>
      </c>
    </row>
    <row r="33" spans="1:17">
      <c r="A33" s="373" t="s">
        <v>32</v>
      </c>
      <c r="B33" s="42" t="s">
        <v>33</v>
      </c>
      <c r="C33" s="399">
        <v>6</v>
      </c>
      <c r="D33" s="426">
        <v>4</v>
      </c>
      <c r="E33" s="394"/>
      <c r="F33" s="394"/>
      <c r="G33" s="394"/>
      <c r="H33" s="394"/>
      <c r="I33" s="397">
        <f t="shared" si="1"/>
        <v>270</v>
      </c>
      <c r="J33" s="430" t="s">
        <v>31</v>
      </c>
      <c r="K33" s="487"/>
      <c r="L33" s="488"/>
      <c r="M33" s="488"/>
      <c r="N33" s="488"/>
      <c r="O33" s="488"/>
      <c r="P33" s="489"/>
      <c r="Q33" s="397">
        <f t="shared" si="2"/>
        <v>0</v>
      </c>
    </row>
    <row r="34" spans="1:17">
      <c r="A34" s="373" t="s">
        <v>32</v>
      </c>
      <c r="B34" s="42" t="s">
        <v>34</v>
      </c>
      <c r="C34" s="399">
        <v>2</v>
      </c>
      <c r="D34" s="399">
        <v>2</v>
      </c>
      <c r="E34" s="394"/>
      <c r="F34" s="394"/>
      <c r="G34" s="394"/>
      <c r="H34" s="394"/>
      <c r="I34" s="397">
        <f t="shared" si="1"/>
        <v>110</v>
      </c>
      <c r="J34" s="430" t="s">
        <v>31</v>
      </c>
      <c r="K34" s="487"/>
      <c r="L34" s="488"/>
      <c r="M34" s="488"/>
      <c r="N34" s="488"/>
      <c r="O34" s="488"/>
      <c r="P34" s="489"/>
      <c r="Q34" s="397">
        <f t="shared" si="2"/>
        <v>0</v>
      </c>
    </row>
    <row r="35" spans="1:17">
      <c r="A35" s="373" t="s">
        <v>32</v>
      </c>
      <c r="B35" s="42" t="s">
        <v>756</v>
      </c>
      <c r="C35" s="399">
        <v>5</v>
      </c>
      <c r="D35" s="394"/>
      <c r="E35" s="394"/>
      <c r="F35" s="394"/>
      <c r="G35" s="394"/>
      <c r="H35" s="394"/>
      <c r="I35" s="397">
        <f t="shared" si="1"/>
        <v>125</v>
      </c>
      <c r="J35" s="430" t="s">
        <v>31</v>
      </c>
      <c r="K35" s="487"/>
      <c r="L35" s="488"/>
      <c r="M35" s="488"/>
      <c r="N35" s="488"/>
      <c r="O35" s="488"/>
      <c r="P35" s="489"/>
      <c r="Q35" s="397">
        <f t="shared" si="2"/>
        <v>0</v>
      </c>
    </row>
    <row r="36" spans="1:17">
      <c r="A36" s="373" t="s">
        <v>32</v>
      </c>
      <c r="B36" s="42" t="s">
        <v>757</v>
      </c>
      <c r="C36" s="399">
        <v>3</v>
      </c>
      <c r="D36" s="394"/>
      <c r="E36" s="394"/>
      <c r="F36" s="394"/>
      <c r="G36" s="394"/>
      <c r="H36" s="394"/>
      <c r="I36" s="397">
        <f t="shared" si="1"/>
        <v>75</v>
      </c>
      <c r="J36" s="430" t="s">
        <v>31</v>
      </c>
      <c r="K36" s="487"/>
      <c r="L36" s="488"/>
      <c r="M36" s="488"/>
      <c r="N36" s="488"/>
      <c r="O36" s="488"/>
      <c r="P36" s="489"/>
      <c r="Q36" s="397">
        <f t="shared" si="2"/>
        <v>0</v>
      </c>
    </row>
    <row r="37" spans="1:17">
      <c r="A37" s="373" t="s">
        <v>32</v>
      </c>
      <c r="B37" s="42" t="s">
        <v>758</v>
      </c>
      <c r="C37" s="399">
        <v>1</v>
      </c>
      <c r="D37" s="394"/>
      <c r="E37" s="394"/>
      <c r="F37" s="394"/>
      <c r="G37" s="394"/>
      <c r="H37" s="394"/>
      <c r="I37" s="397">
        <f t="shared" si="1"/>
        <v>25</v>
      </c>
      <c r="J37" s="430" t="s">
        <v>31</v>
      </c>
      <c r="K37" s="487"/>
      <c r="L37" s="488"/>
      <c r="M37" s="488"/>
      <c r="N37" s="488"/>
      <c r="O37" s="488"/>
      <c r="P37" s="489"/>
      <c r="Q37" s="397">
        <f t="shared" si="2"/>
        <v>0</v>
      </c>
    </row>
    <row r="38" spans="1:17">
      <c r="A38" s="373" t="s">
        <v>32</v>
      </c>
      <c r="B38" s="42" t="s">
        <v>759</v>
      </c>
      <c r="C38" s="399">
        <v>2</v>
      </c>
      <c r="D38" s="394"/>
      <c r="E38" s="394"/>
      <c r="F38" s="394"/>
      <c r="G38" s="394"/>
      <c r="H38" s="394"/>
      <c r="I38" s="397">
        <f t="shared" si="1"/>
        <v>50</v>
      </c>
      <c r="J38" s="430" t="s">
        <v>31</v>
      </c>
      <c r="K38" s="487"/>
      <c r="L38" s="488"/>
      <c r="M38" s="488"/>
      <c r="N38" s="488"/>
      <c r="O38" s="488"/>
      <c r="P38" s="489"/>
      <c r="Q38" s="397">
        <f t="shared" si="2"/>
        <v>0</v>
      </c>
    </row>
    <row r="39" spans="1:17">
      <c r="A39" s="373" t="s">
        <v>32</v>
      </c>
      <c r="B39" s="42" t="s">
        <v>760</v>
      </c>
      <c r="C39" s="399">
        <v>5</v>
      </c>
      <c r="D39" s="394"/>
      <c r="E39" s="394"/>
      <c r="F39" s="394"/>
      <c r="G39" s="394"/>
      <c r="H39" s="394"/>
      <c r="I39" s="397">
        <f t="shared" si="1"/>
        <v>125</v>
      </c>
      <c r="J39" s="430" t="s">
        <v>31</v>
      </c>
      <c r="K39" s="487"/>
      <c r="L39" s="488"/>
      <c r="M39" s="488"/>
      <c r="N39" s="488"/>
      <c r="O39" s="488"/>
      <c r="P39" s="489"/>
      <c r="Q39" s="397">
        <f t="shared" si="2"/>
        <v>0</v>
      </c>
    </row>
    <row r="40" spans="1:17">
      <c r="A40" s="373" t="s">
        <v>32</v>
      </c>
      <c r="B40" s="42" t="s">
        <v>761</v>
      </c>
      <c r="C40" s="399">
        <v>2</v>
      </c>
      <c r="D40" s="394"/>
      <c r="E40" s="394"/>
      <c r="F40" s="394"/>
      <c r="G40" s="394"/>
      <c r="H40" s="394"/>
      <c r="I40" s="397">
        <f t="shared" si="1"/>
        <v>50</v>
      </c>
      <c r="J40" s="430" t="s">
        <v>31</v>
      </c>
      <c r="K40" s="490"/>
      <c r="L40" s="491"/>
      <c r="M40" s="491"/>
      <c r="N40" s="491"/>
      <c r="O40" s="491"/>
      <c r="P40" s="492"/>
      <c r="Q40" s="397">
        <f t="shared" si="2"/>
        <v>0</v>
      </c>
    </row>
    <row r="41" spans="1:17">
      <c r="A41" s="446">
        <v>5</v>
      </c>
      <c r="B41" s="147" t="s">
        <v>762</v>
      </c>
      <c r="C41" s="447"/>
      <c r="D41" s="447"/>
      <c r="E41" s="447"/>
      <c r="F41" s="447"/>
      <c r="G41" s="447"/>
      <c r="H41" s="447"/>
      <c r="I41" s="397">
        <f t="shared" si="1"/>
        <v>0</v>
      </c>
      <c r="J41" s="448" t="s">
        <v>31</v>
      </c>
      <c r="K41" s="161"/>
      <c r="L41" s="161"/>
      <c r="M41" s="161"/>
      <c r="N41" s="33">
        <v>12</v>
      </c>
      <c r="O41" s="33">
        <v>12</v>
      </c>
      <c r="P41" s="161"/>
      <c r="Q41" s="397">
        <f t="shared" si="2"/>
        <v>960</v>
      </c>
    </row>
    <row r="42" spans="1:17">
      <c r="A42" s="373" t="s">
        <v>32</v>
      </c>
      <c r="B42" s="42" t="s">
        <v>763</v>
      </c>
      <c r="C42" s="399">
        <v>4</v>
      </c>
      <c r="D42" s="394"/>
      <c r="E42" s="399">
        <v>0.5</v>
      </c>
      <c r="F42" s="399">
        <v>9.5</v>
      </c>
      <c r="G42" s="394"/>
      <c r="H42" s="394"/>
      <c r="I42" s="397">
        <f t="shared" si="1"/>
        <v>505</v>
      </c>
      <c r="J42" s="430" t="s">
        <v>31</v>
      </c>
      <c r="K42" s="484"/>
      <c r="L42" s="485"/>
      <c r="M42" s="485"/>
      <c r="N42" s="485"/>
      <c r="O42" s="485"/>
      <c r="P42" s="486"/>
      <c r="Q42" s="397">
        <f t="shared" si="2"/>
        <v>0</v>
      </c>
    </row>
    <row r="43" spans="1:17">
      <c r="A43" s="373" t="s">
        <v>32</v>
      </c>
      <c r="B43" s="42" t="s">
        <v>764</v>
      </c>
      <c r="C43" s="399">
        <v>6</v>
      </c>
      <c r="D43" s="394"/>
      <c r="E43" s="399">
        <v>0.5</v>
      </c>
      <c r="F43" s="399">
        <v>16.5</v>
      </c>
      <c r="G43" s="394"/>
      <c r="H43" s="394"/>
      <c r="I43" s="397">
        <f t="shared" si="1"/>
        <v>835</v>
      </c>
      <c r="J43" s="430" t="s">
        <v>31</v>
      </c>
      <c r="K43" s="487"/>
      <c r="L43" s="488"/>
      <c r="M43" s="488"/>
      <c r="N43" s="488"/>
      <c r="O43" s="488"/>
      <c r="P43" s="489"/>
      <c r="Q43" s="397">
        <f t="shared" si="2"/>
        <v>0</v>
      </c>
    </row>
    <row r="44" spans="1:17">
      <c r="A44" s="373" t="s">
        <v>32</v>
      </c>
      <c r="B44" s="42" t="s">
        <v>765</v>
      </c>
      <c r="C44" s="399">
        <v>4</v>
      </c>
      <c r="D44" s="394"/>
      <c r="E44" s="399">
        <v>4</v>
      </c>
      <c r="F44" s="399">
        <v>14.5</v>
      </c>
      <c r="G44" s="394"/>
      <c r="H44" s="394"/>
      <c r="I44" s="397">
        <f t="shared" si="1"/>
        <v>880</v>
      </c>
      <c r="J44" s="430" t="s">
        <v>31</v>
      </c>
      <c r="K44" s="487"/>
      <c r="L44" s="488"/>
      <c r="M44" s="488"/>
      <c r="N44" s="488"/>
      <c r="O44" s="488"/>
      <c r="P44" s="489"/>
      <c r="Q44" s="397">
        <f t="shared" si="2"/>
        <v>0</v>
      </c>
    </row>
    <row r="45" spans="1:17">
      <c r="A45" s="373" t="s">
        <v>32</v>
      </c>
      <c r="B45" s="42" t="s">
        <v>766</v>
      </c>
      <c r="C45" s="399">
        <v>3</v>
      </c>
      <c r="D45" s="394"/>
      <c r="E45" s="394"/>
      <c r="F45" s="399">
        <v>7</v>
      </c>
      <c r="G45" s="394"/>
      <c r="H45" s="394"/>
      <c r="I45" s="397">
        <f t="shared" si="1"/>
        <v>355</v>
      </c>
      <c r="J45" s="430" t="s">
        <v>31</v>
      </c>
      <c r="K45" s="487"/>
      <c r="L45" s="488"/>
      <c r="M45" s="488"/>
      <c r="N45" s="488"/>
      <c r="O45" s="488"/>
      <c r="P45" s="489"/>
      <c r="Q45" s="397">
        <f t="shared" si="2"/>
        <v>0</v>
      </c>
    </row>
    <row r="46" spans="1:17">
      <c r="A46" s="373" t="s">
        <v>32</v>
      </c>
      <c r="B46" s="42" t="s">
        <v>767</v>
      </c>
      <c r="C46" s="399">
        <v>7.5</v>
      </c>
      <c r="D46" s="394"/>
      <c r="E46" s="399">
        <v>3</v>
      </c>
      <c r="F46" s="399">
        <v>10</v>
      </c>
      <c r="G46" s="394"/>
      <c r="H46" s="394"/>
      <c r="I46" s="397">
        <f t="shared" si="1"/>
        <v>737.5</v>
      </c>
      <c r="J46" s="430" t="s">
        <v>31</v>
      </c>
      <c r="K46" s="487"/>
      <c r="L46" s="488"/>
      <c r="M46" s="488"/>
      <c r="N46" s="488"/>
      <c r="O46" s="488"/>
      <c r="P46" s="489"/>
      <c r="Q46" s="397">
        <f t="shared" si="2"/>
        <v>0</v>
      </c>
    </row>
    <row r="47" spans="1:17">
      <c r="A47" s="373" t="s">
        <v>32</v>
      </c>
      <c r="B47" s="42" t="s">
        <v>768</v>
      </c>
      <c r="C47" s="394">
        <v>4.5</v>
      </c>
      <c r="D47" s="394"/>
      <c r="E47" s="394">
        <v>2</v>
      </c>
      <c r="F47" s="394">
        <v>16.5</v>
      </c>
      <c r="G47" s="394"/>
      <c r="H47" s="449"/>
      <c r="I47" s="397">
        <f t="shared" si="1"/>
        <v>872.5</v>
      </c>
      <c r="J47" s="430" t="s">
        <v>31</v>
      </c>
      <c r="K47" s="490"/>
      <c r="L47" s="491"/>
      <c r="M47" s="491"/>
      <c r="N47" s="491"/>
      <c r="O47" s="491"/>
      <c r="P47" s="492"/>
      <c r="Q47" s="444">
        <f t="shared" si="2"/>
        <v>0</v>
      </c>
    </row>
    <row r="48" spans="1:17">
      <c r="A48" s="12"/>
      <c r="B48" s="12"/>
      <c r="C48" s="12"/>
      <c r="D48" s="12"/>
      <c r="E48" s="12"/>
      <c r="F48" s="12"/>
      <c r="H48" s="450" t="s">
        <v>38</v>
      </c>
      <c r="I48" s="451">
        <f>SUM(I41:I47)+SUM(I15:I29)+SUM(I30:I40)</f>
        <v>10515</v>
      </c>
      <c r="J48" s="413"/>
      <c r="K48" s="12"/>
      <c r="L48" s="12"/>
      <c r="M48" s="12"/>
      <c r="N48" s="12"/>
      <c r="P48" s="450" t="s">
        <v>38</v>
      </c>
      <c r="Q48" s="452">
        <f>SUM(Q41:Q47)+SUM(Q15:Q29)+SUM(Q30:Q40)</f>
        <v>8170</v>
      </c>
    </row>
  </sheetData>
  <mergeCells count="9">
    <mergeCell ref="K32:P40"/>
    <mergeCell ref="K42:P47"/>
    <mergeCell ref="A12:D12"/>
    <mergeCell ref="A13:B13"/>
    <mergeCell ref="C13:I13"/>
    <mergeCell ref="J13:J14"/>
    <mergeCell ref="K13:Q13"/>
    <mergeCell ref="K20:P29"/>
    <mergeCell ref="C31:G31"/>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AA68"/>
  <sheetViews>
    <sheetView workbookViewId="0"/>
  </sheetViews>
  <sheetFormatPr defaultColWidth="12.5703125" defaultRowHeight="15.75" customHeight="1"/>
  <cols>
    <col min="1" max="1" width="4.85546875" customWidth="1"/>
    <col min="2" max="2" width="48.42578125" customWidth="1"/>
    <col min="6" max="6" width="12" customWidth="1"/>
    <col min="17" max="17" width="15.42578125" customWidth="1"/>
  </cols>
  <sheetData>
    <row r="1" spans="1:27">
      <c r="A1" s="11" t="s">
        <v>11</v>
      </c>
      <c r="B1" s="386" t="s">
        <v>12</v>
      </c>
      <c r="C1" s="11" t="s">
        <v>3</v>
      </c>
      <c r="D1" s="11" t="s">
        <v>13</v>
      </c>
      <c r="E1" s="11" t="s">
        <v>4</v>
      </c>
      <c r="F1" s="12"/>
      <c r="G1" s="12"/>
      <c r="H1" s="12"/>
      <c r="I1" s="12"/>
    </row>
    <row r="2" spans="1:27">
      <c r="A2" s="13">
        <v>1</v>
      </c>
      <c r="B2" s="387" t="s">
        <v>14</v>
      </c>
      <c r="C2" s="15">
        <v>5.5</v>
      </c>
      <c r="D2" s="15">
        <v>30</v>
      </c>
      <c r="E2" s="15">
        <f t="shared" ref="E2:E11" si="0">D2*C2</f>
        <v>165</v>
      </c>
      <c r="F2" s="8"/>
      <c r="G2" s="12"/>
      <c r="H2" s="12"/>
      <c r="I2" s="12"/>
    </row>
    <row r="3" spans="1:27">
      <c r="A3" s="13">
        <v>2</v>
      </c>
      <c r="B3" s="387" t="s">
        <v>15</v>
      </c>
      <c r="C3" s="17">
        <v>88</v>
      </c>
      <c r="D3" s="17">
        <v>25</v>
      </c>
      <c r="E3" s="17">
        <f t="shared" si="0"/>
        <v>2200</v>
      </c>
      <c r="F3" s="8"/>
      <c r="G3" s="12"/>
      <c r="H3" s="8"/>
      <c r="I3" s="12"/>
    </row>
    <row r="4" spans="1:27">
      <c r="A4" s="13">
        <v>3</v>
      </c>
      <c r="B4" s="387" t="s">
        <v>16</v>
      </c>
      <c r="C4" s="14"/>
      <c r="D4" s="17">
        <v>25</v>
      </c>
      <c r="E4" s="17">
        <f t="shared" si="0"/>
        <v>0</v>
      </c>
      <c r="F4" s="12"/>
      <c r="G4" s="12"/>
      <c r="H4" s="12"/>
      <c r="I4" s="12"/>
    </row>
    <row r="5" spans="1:27">
      <c r="A5" s="13">
        <v>4</v>
      </c>
      <c r="B5" s="388" t="s">
        <v>17</v>
      </c>
      <c r="C5" s="19">
        <v>14</v>
      </c>
      <c r="D5" s="19">
        <v>50</v>
      </c>
      <c r="E5" s="19">
        <f t="shared" si="0"/>
        <v>700</v>
      </c>
      <c r="F5" s="8"/>
      <c r="G5" s="12"/>
      <c r="H5" s="12"/>
      <c r="I5" s="12"/>
    </row>
    <row r="6" spans="1:27">
      <c r="A6" s="13">
        <v>5</v>
      </c>
      <c r="B6" s="389" t="s">
        <v>18</v>
      </c>
      <c r="C6" s="21">
        <v>165</v>
      </c>
      <c r="D6" s="21">
        <v>40</v>
      </c>
      <c r="E6" s="21">
        <f t="shared" si="0"/>
        <v>6600</v>
      </c>
      <c r="F6" s="8"/>
      <c r="G6" s="12"/>
      <c r="H6" s="12"/>
      <c r="I6" s="12"/>
    </row>
    <row r="7" spans="1:27">
      <c r="A7" s="13">
        <v>6</v>
      </c>
      <c r="B7" s="389" t="s">
        <v>19</v>
      </c>
      <c r="C7" s="22">
        <v>54</v>
      </c>
      <c r="D7" s="22">
        <v>40</v>
      </c>
      <c r="E7" s="22">
        <f t="shared" si="0"/>
        <v>2160</v>
      </c>
      <c r="F7" s="8"/>
      <c r="G7" s="12"/>
      <c r="H7" s="12"/>
      <c r="I7" s="12"/>
    </row>
    <row r="8" spans="1:27">
      <c r="A8" s="13">
        <v>7</v>
      </c>
      <c r="B8" s="389" t="s">
        <v>350</v>
      </c>
      <c r="C8" s="453"/>
      <c r="D8" s="21">
        <v>40</v>
      </c>
      <c r="E8" s="21">
        <f t="shared" si="0"/>
        <v>0</v>
      </c>
      <c r="F8" s="12"/>
      <c r="G8" s="12"/>
      <c r="H8" s="12"/>
      <c r="I8" s="12"/>
    </row>
    <row r="9" spans="1:27">
      <c r="A9" s="13">
        <v>8</v>
      </c>
      <c r="B9" s="390" t="s">
        <v>20</v>
      </c>
      <c r="C9" s="25"/>
      <c r="D9" s="24">
        <v>35</v>
      </c>
      <c r="E9" s="24">
        <f t="shared" si="0"/>
        <v>0</v>
      </c>
      <c r="F9" s="12"/>
      <c r="G9" s="12"/>
      <c r="H9" s="12"/>
      <c r="I9" s="12"/>
    </row>
    <row r="10" spans="1:27">
      <c r="A10" s="13">
        <v>9</v>
      </c>
      <c r="B10" s="390" t="s">
        <v>20</v>
      </c>
      <c r="C10" s="23"/>
      <c r="D10" s="26">
        <v>35</v>
      </c>
      <c r="E10" s="24">
        <f t="shared" si="0"/>
        <v>0</v>
      </c>
      <c r="F10" s="12"/>
      <c r="G10" s="12"/>
      <c r="H10" s="12"/>
      <c r="I10" s="12"/>
    </row>
    <row r="11" spans="1:27">
      <c r="A11" s="50">
        <v>10</v>
      </c>
      <c r="B11" s="427" t="s">
        <v>21</v>
      </c>
      <c r="C11" s="25"/>
      <c r="D11" s="24">
        <v>25</v>
      </c>
      <c r="E11" s="24">
        <f t="shared" si="0"/>
        <v>0</v>
      </c>
      <c r="F11" s="12"/>
      <c r="G11" s="12"/>
      <c r="H11" s="12"/>
      <c r="I11" s="12"/>
    </row>
    <row r="12" spans="1:27">
      <c r="A12" s="474"/>
      <c r="B12" s="475"/>
      <c r="C12" s="475"/>
      <c r="D12" s="476"/>
      <c r="E12" s="27">
        <f>SUM(E2:E11)</f>
        <v>11825</v>
      </c>
      <c r="F12" s="12"/>
      <c r="G12" s="391"/>
      <c r="H12" s="12"/>
      <c r="I12" s="12"/>
    </row>
    <row r="13" spans="1:27">
      <c r="A13" s="477"/>
      <c r="B13" s="478"/>
      <c r="C13" s="479" t="s">
        <v>22</v>
      </c>
      <c r="D13" s="480"/>
      <c r="E13" s="480"/>
      <c r="F13" s="480"/>
      <c r="G13" s="480"/>
      <c r="H13" s="480"/>
      <c r="I13" s="478"/>
      <c r="J13" s="481" t="s">
        <v>5</v>
      </c>
      <c r="K13" s="483" t="s">
        <v>23</v>
      </c>
      <c r="L13" s="480"/>
      <c r="M13" s="480"/>
      <c r="N13" s="480"/>
      <c r="O13" s="480"/>
      <c r="P13" s="480"/>
      <c r="Q13" s="478"/>
    </row>
    <row r="14" spans="1:27">
      <c r="A14" s="434" t="s">
        <v>11</v>
      </c>
      <c r="B14" s="434" t="s">
        <v>0</v>
      </c>
      <c r="C14" s="434" t="s">
        <v>24</v>
      </c>
      <c r="D14" s="435" t="s">
        <v>25</v>
      </c>
      <c r="E14" s="434" t="s">
        <v>26</v>
      </c>
      <c r="F14" s="434" t="s">
        <v>27</v>
      </c>
      <c r="G14" s="434" t="s">
        <v>28</v>
      </c>
      <c r="H14" s="434" t="s">
        <v>21</v>
      </c>
      <c r="I14" s="436" t="s">
        <v>29</v>
      </c>
      <c r="J14" s="482"/>
      <c r="K14" s="437" t="s">
        <v>24</v>
      </c>
      <c r="L14" s="437" t="s">
        <v>25</v>
      </c>
      <c r="M14" s="437" t="s">
        <v>26</v>
      </c>
      <c r="N14" s="437" t="s">
        <v>27</v>
      </c>
      <c r="O14" s="437" t="s">
        <v>28</v>
      </c>
      <c r="P14" s="437" t="s">
        <v>21</v>
      </c>
      <c r="Q14" s="438" t="s">
        <v>30</v>
      </c>
      <c r="R14" s="114"/>
      <c r="S14" s="114"/>
      <c r="T14" s="114"/>
      <c r="U14" s="114"/>
      <c r="V14" s="114"/>
      <c r="W14" s="114"/>
      <c r="X14" s="114"/>
      <c r="Y14" s="114"/>
      <c r="Z14" s="114"/>
      <c r="AA14" s="114"/>
    </row>
    <row r="15" spans="1:27">
      <c r="A15" s="454">
        <v>1</v>
      </c>
      <c r="B15" s="40" t="s">
        <v>769</v>
      </c>
      <c r="C15" s="455"/>
      <c r="D15" s="455"/>
      <c r="E15" s="455"/>
      <c r="F15" s="455"/>
      <c r="G15" s="455"/>
      <c r="H15" s="455"/>
      <c r="I15" s="397">
        <f t="shared" ref="I15:I44" si="1">C15*25+D15*30+E15*50+F15*40+G15*35+H15*25</f>
        <v>0</v>
      </c>
      <c r="J15" s="430" t="s">
        <v>31</v>
      </c>
      <c r="K15" s="325"/>
      <c r="L15" s="325"/>
      <c r="M15" s="325"/>
      <c r="N15" s="376">
        <v>55</v>
      </c>
      <c r="O15" s="325"/>
      <c r="P15" s="456"/>
      <c r="Q15" s="397">
        <f t="shared" ref="Q15:Q67" si="2">K15*25+L15*30+M15*50+N15*40+O15*40+P15*25</f>
        <v>2200</v>
      </c>
    </row>
    <row r="16" spans="1:27">
      <c r="A16" s="373" t="s">
        <v>32</v>
      </c>
      <c r="B16" s="298" t="s">
        <v>770</v>
      </c>
      <c r="C16" s="394"/>
      <c r="D16" s="399">
        <v>1</v>
      </c>
      <c r="E16" s="399">
        <v>6</v>
      </c>
      <c r="F16" s="399">
        <v>27.5</v>
      </c>
      <c r="G16" s="394"/>
      <c r="H16" s="417"/>
      <c r="I16" s="397">
        <f t="shared" si="1"/>
        <v>1430</v>
      </c>
      <c r="J16" s="430" t="s">
        <v>31</v>
      </c>
      <c r="K16" s="484"/>
      <c r="L16" s="485"/>
      <c r="M16" s="485"/>
      <c r="N16" s="485"/>
      <c r="O16" s="485"/>
      <c r="P16" s="486"/>
      <c r="Q16" s="397">
        <f t="shared" si="2"/>
        <v>0</v>
      </c>
    </row>
    <row r="17" spans="1:17">
      <c r="A17" s="373" t="s">
        <v>32</v>
      </c>
      <c r="B17" s="298" t="s">
        <v>771</v>
      </c>
      <c r="C17" s="394"/>
      <c r="D17" s="394"/>
      <c r="E17" s="399">
        <v>0.5</v>
      </c>
      <c r="F17" s="399">
        <v>17.5</v>
      </c>
      <c r="G17" s="394"/>
      <c r="H17" s="394"/>
      <c r="I17" s="397">
        <f t="shared" si="1"/>
        <v>725</v>
      </c>
      <c r="J17" s="430" t="s">
        <v>31</v>
      </c>
      <c r="K17" s="487"/>
      <c r="L17" s="488"/>
      <c r="M17" s="488"/>
      <c r="N17" s="488"/>
      <c r="O17" s="488"/>
      <c r="P17" s="489"/>
      <c r="Q17" s="397">
        <f t="shared" si="2"/>
        <v>0</v>
      </c>
    </row>
    <row r="18" spans="1:17">
      <c r="A18" s="373" t="s">
        <v>32</v>
      </c>
      <c r="B18" s="298" t="s">
        <v>772</v>
      </c>
      <c r="C18" s="394"/>
      <c r="D18" s="394"/>
      <c r="E18" s="394"/>
      <c r="F18" s="399">
        <v>4</v>
      </c>
      <c r="G18" s="394"/>
      <c r="H18" s="394"/>
      <c r="I18" s="397">
        <f t="shared" si="1"/>
        <v>160</v>
      </c>
      <c r="J18" s="430" t="s">
        <v>31</v>
      </c>
      <c r="K18" s="487"/>
      <c r="L18" s="488"/>
      <c r="M18" s="488"/>
      <c r="N18" s="488"/>
      <c r="O18" s="488"/>
      <c r="P18" s="489"/>
      <c r="Q18" s="397">
        <f t="shared" si="2"/>
        <v>0</v>
      </c>
    </row>
    <row r="19" spans="1:17">
      <c r="A19" s="373" t="s">
        <v>32</v>
      </c>
      <c r="B19" s="298" t="s">
        <v>773</v>
      </c>
      <c r="C19" s="394"/>
      <c r="D19" s="394"/>
      <c r="E19" s="399">
        <v>2</v>
      </c>
      <c r="F19" s="399">
        <v>11.5</v>
      </c>
      <c r="G19" s="394"/>
      <c r="H19" s="394"/>
      <c r="I19" s="397">
        <f t="shared" si="1"/>
        <v>560</v>
      </c>
      <c r="J19" s="430" t="s">
        <v>31</v>
      </c>
      <c r="K19" s="487"/>
      <c r="L19" s="488"/>
      <c r="M19" s="488"/>
      <c r="N19" s="488"/>
      <c r="O19" s="488"/>
      <c r="P19" s="489"/>
      <c r="Q19" s="397">
        <f t="shared" si="2"/>
        <v>0</v>
      </c>
    </row>
    <row r="20" spans="1:17">
      <c r="A20" s="373" t="s">
        <v>32</v>
      </c>
      <c r="B20" s="332" t="s">
        <v>774</v>
      </c>
      <c r="C20" s="394"/>
      <c r="D20" s="394"/>
      <c r="E20" s="394"/>
      <c r="F20" s="399">
        <v>5</v>
      </c>
      <c r="G20" s="394"/>
      <c r="H20" s="394"/>
      <c r="I20" s="397">
        <f t="shared" si="1"/>
        <v>200</v>
      </c>
      <c r="J20" s="430" t="s">
        <v>31</v>
      </c>
      <c r="K20" s="487"/>
      <c r="L20" s="488"/>
      <c r="M20" s="488"/>
      <c r="N20" s="488"/>
      <c r="O20" s="488"/>
      <c r="P20" s="489"/>
      <c r="Q20" s="397">
        <f t="shared" si="2"/>
        <v>0</v>
      </c>
    </row>
    <row r="21" spans="1:17">
      <c r="A21" s="373" t="s">
        <v>32</v>
      </c>
      <c r="B21" s="42" t="s">
        <v>775</v>
      </c>
      <c r="C21" s="394"/>
      <c r="D21" s="394"/>
      <c r="E21" s="394"/>
      <c r="F21" s="399">
        <v>5</v>
      </c>
      <c r="G21" s="394"/>
      <c r="H21" s="394"/>
      <c r="I21" s="397">
        <f t="shared" si="1"/>
        <v>200</v>
      </c>
      <c r="J21" s="430" t="s">
        <v>31</v>
      </c>
      <c r="K21" s="487"/>
      <c r="L21" s="488"/>
      <c r="M21" s="488"/>
      <c r="N21" s="488"/>
      <c r="O21" s="488"/>
      <c r="P21" s="489"/>
      <c r="Q21" s="397">
        <f t="shared" si="2"/>
        <v>0</v>
      </c>
    </row>
    <row r="22" spans="1:17">
      <c r="A22" s="373" t="s">
        <v>32</v>
      </c>
      <c r="B22" s="42" t="s">
        <v>776</v>
      </c>
      <c r="C22" s="394"/>
      <c r="D22" s="394"/>
      <c r="E22" s="394"/>
      <c r="F22" s="399">
        <v>0.5</v>
      </c>
      <c r="G22" s="394"/>
      <c r="H22" s="394"/>
      <c r="I22" s="397">
        <f t="shared" si="1"/>
        <v>20</v>
      </c>
      <c r="J22" s="430" t="s">
        <v>31</v>
      </c>
      <c r="K22" s="487"/>
      <c r="L22" s="488"/>
      <c r="M22" s="488"/>
      <c r="N22" s="488"/>
      <c r="O22" s="488"/>
      <c r="P22" s="489"/>
      <c r="Q22" s="397">
        <f t="shared" si="2"/>
        <v>0</v>
      </c>
    </row>
    <row r="23" spans="1:17">
      <c r="A23" s="373" t="s">
        <v>32</v>
      </c>
      <c r="B23" s="42" t="s">
        <v>777</v>
      </c>
      <c r="C23" s="394"/>
      <c r="D23" s="394"/>
      <c r="E23" s="394"/>
      <c r="F23" s="399">
        <v>5</v>
      </c>
      <c r="G23" s="394"/>
      <c r="H23" s="394"/>
      <c r="I23" s="397">
        <f t="shared" si="1"/>
        <v>200</v>
      </c>
      <c r="J23" s="430" t="s">
        <v>31</v>
      </c>
      <c r="K23" s="487"/>
      <c r="L23" s="488"/>
      <c r="M23" s="488"/>
      <c r="N23" s="488"/>
      <c r="O23" s="488"/>
      <c r="P23" s="489"/>
      <c r="Q23" s="397">
        <f t="shared" si="2"/>
        <v>0</v>
      </c>
    </row>
    <row r="24" spans="1:17">
      <c r="A24" s="373" t="s">
        <v>32</v>
      </c>
      <c r="B24" s="42" t="s">
        <v>778</v>
      </c>
      <c r="C24" s="394"/>
      <c r="D24" s="394"/>
      <c r="E24" s="394"/>
      <c r="F24" s="399">
        <v>5</v>
      </c>
      <c r="G24" s="394"/>
      <c r="H24" s="394"/>
      <c r="I24" s="397">
        <f t="shared" si="1"/>
        <v>200</v>
      </c>
      <c r="J24" s="430" t="s">
        <v>31</v>
      </c>
      <c r="K24" s="487"/>
      <c r="L24" s="488"/>
      <c r="M24" s="488"/>
      <c r="N24" s="488"/>
      <c r="O24" s="488"/>
      <c r="P24" s="489"/>
      <c r="Q24" s="397">
        <f t="shared" si="2"/>
        <v>0</v>
      </c>
    </row>
    <row r="25" spans="1:17">
      <c r="A25" s="373" t="s">
        <v>32</v>
      </c>
      <c r="B25" s="42" t="s">
        <v>779</v>
      </c>
      <c r="C25" s="394"/>
      <c r="D25" s="394"/>
      <c r="E25" s="394"/>
      <c r="F25" s="399">
        <v>1</v>
      </c>
      <c r="G25" s="394"/>
      <c r="H25" s="394"/>
      <c r="I25" s="397">
        <f t="shared" si="1"/>
        <v>40</v>
      </c>
      <c r="J25" s="430" t="s">
        <v>31</v>
      </c>
      <c r="K25" s="487"/>
      <c r="L25" s="488"/>
      <c r="M25" s="488"/>
      <c r="N25" s="488"/>
      <c r="O25" s="488"/>
      <c r="P25" s="489"/>
      <c r="Q25" s="397">
        <f t="shared" si="2"/>
        <v>0</v>
      </c>
    </row>
    <row r="26" spans="1:17">
      <c r="A26" s="373" t="s">
        <v>32</v>
      </c>
      <c r="B26" s="42" t="s">
        <v>780</v>
      </c>
      <c r="C26" s="394"/>
      <c r="D26" s="394"/>
      <c r="E26" s="394"/>
      <c r="F26" s="399">
        <v>1</v>
      </c>
      <c r="G26" s="394"/>
      <c r="H26" s="394"/>
      <c r="I26" s="397">
        <f t="shared" si="1"/>
        <v>40</v>
      </c>
      <c r="J26" s="430" t="s">
        <v>31</v>
      </c>
      <c r="K26" s="487"/>
      <c r="L26" s="488"/>
      <c r="M26" s="488"/>
      <c r="N26" s="488"/>
      <c r="O26" s="488"/>
      <c r="P26" s="489"/>
      <c r="Q26" s="397">
        <f t="shared" si="2"/>
        <v>0</v>
      </c>
    </row>
    <row r="27" spans="1:17">
      <c r="A27" s="373" t="s">
        <v>32</v>
      </c>
      <c r="B27" s="42" t="s">
        <v>781</v>
      </c>
      <c r="C27" s="394"/>
      <c r="D27" s="394"/>
      <c r="E27" s="394"/>
      <c r="F27" s="399">
        <v>3</v>
      </c>
      <c r="G27" s="394"/>
      <c r="H27" s="394"/>
      <c r="I27" s="397">
        <f t="shared" si="1"/>
        <v>120</v>
      </c>
      <c r="J27" s="430" t="s">
        <v>31</v>
      </c>
      <c r="K27" s="487"/>
      <c r="L27" s="488"/>
      <c r="M27" s="488"/>
      <c r="N27" s="488"/>
      <c r="O27" s="488"/>
      <c r="P27" s="489"/>
      <c r="Q27" s="397">
        <f t="shared" si="2"/>
        <v>0</v>
      </c>
    </row>
    <row r="28" spans="1:17">
      <c r="A28" s="373" t="s">
        <v>32</v>
      </c>
      <c r="B28" s="42" t="s">
        <v>782</v>
      </c>
      <c r="C28" s="394"/>
      <c r="D28" s="394"/>
      <c r="E28" s="399">
        <v>3</v>
      </c>
      <c r="F28" s="399">
        <v>15.5</v>
      </c>
      <c r="G28" s="394"/>
      <c r="H28" s="394"/>
      <c r="I28" s="397">
        <f t="shared" si="1"/>
        <v>770</v>
      </c>
      <c r="J28" s="430" t="s">
        <v>31</v>
      </c>
      <c r="K28" s="487"/>
      <c r="L28" s="488"/>
      <c r="M28" s="488"/>
      <c r="N28" s="488"/>
      <c r="O28" s="488"/>
      <c r="P28" s="489"/>
      <c r="Q28" s="397">
        <f t="shared" si="2"/>
        <v>0</v>
      </c>
    </row>
    <row r="29" spans="1:17">
      <c r="A29" s="373" t="s">
        <v>32</v>
      </c>
      <c r="B29" s="457" t="s">
        <v>783</v>
      </c>
      <c r="C29" s="394"/>
      <c r="D29" s="394"/>
      <c r="E29" s="394"/>
      <c r="F29" s="399">
        <v>3.5</v>
      </c>
      <c r="G29" s="394"/>
      <c r="H29" s="394"/>
      <c r="I29" s="397">
        <f t="shared" si="1"/>
        <v>140</v>
      </c>
      <c r="J29" s="430" t="s">
        <v>31</v>
      </c>
      <c r="K29" s="487"/>
      <c r="L29" s="488"/>
      <c r="M29" s="488"/>
      <c r="N29" s="488"/>
      <c r="O29" s="488"/>
      <c r="P29" s="489"/>
      <c r="Q29" s="397">
        <f t="shared" si="2"/>
        <v>0</v>
      </c>
    </row>
    <row r="30" spans="1:17">
      <c r="A30" s="373" t="s">
        <v>32</v>
      </c>
      <c r="B30" s="457" t="s">
        <v>784</v>
      </c>
      <c r="C30" s="394"/>
      <c r="D30" s="394"/>
      <c r="E30" s="399">
        <v>0.5</v>
      </c>
      <c r="F30" s="399">
        <v>13</v>
      </c>
      <c r="G30" s="394"/>
      <c r="H30" s="394"/>
      <c r="I30" s="397">
        <f t="shared" si="1"/>
        <v>545</v>
      </c>
      <c r="J30" s="430" t="s">
        <v>31</v>
      </c>
      <c r="K30" s="487"/>
      <c r="L30" s="488"/>
      <c r="M30" s="488"/>
      <c r="N30" s="488"/>
      <c r="O30" s="488"/>
      <c r="P30" s="489"/>
      <c r="Q30" s="397">
        <f t="shared" si="2"/>
        <v>0</v>
      </c>
    </row>
    <row r="31" spans="1:17">
      <c r="A31" s="373" t="s">
        <v>32</v>
      </c>
      <c r="B31" s="42" t="s">
        <v>785</v>
      </c>
      <c r="C31" s="394"/>
      <c r="D31" s="394"/>
      <c r="E31" s="399">
        <v>1</v>
      </c>
      <c r="F31" s="399">
        <v>9.5</v>
      </c>
      <c r="G31" s="394"/>
      <c r="H31" s="394"/>
      <c r="I31" s="397">
        <f t="shared" si="1"/>
        <v>430</v>
      </c>
      <c r="J31" s="430" t="s">
        <v>31</v>
      </c>
      <c r="K31" s="487"/>
      <c r="L31" s="488"/>
      <c r="M31" s="488"/>
      <c r="N31" s="488"/>
      <c r="O31" s="488"/>
      <c r="P31" s="489"/>
      <c r="Q31" s="397">
        <f t="shared" si="2"/>
        <v>0</v>
      </c>
    </row>
    <row r="32" spans="1:17">
      <c r="A32" s="373" t="s">
        <v>32</v>
      </c>
      <c r="B32" s="42" t="s">
        <v>786</v>
      </c>
      <c r="C32" s="394"/>
      <c r="D32" s="394"/>
      <c r="E32" s="394"/>
      <c r="F32" s="399">
        <v>11</v>
      </c>
      <c r="G32" s="394"/>
      <c r="H32" s="394"/>
      <c r="I32" s="397">
        <f t="shared" si="1"/>
        <v>440</v>
      </c>
      <c r="J32" s="430" t="s">
        <v>31</v>
      </c>
      <c r="K32" s="487"/>
      <c r="L32" s="488"/>
      <c r="M32" s="488"/>
      <c r="N32" s="488"/>
      <c r="O32" s="488"/>
      <c r="P32" s="489"/>
      <c r="Q32" s="397">
        <f t="shared" si="2"/>
        <v>0</v>
      </c>
    </row>
    <row r="33" spans="1:17">
      <c r="A33" s="373" t="s">
        <v>32</v>
      </c>
      <c r="B33" s="42" t="s">
        <v>787</v>
      </c>
      <c r="C33" s="394"/>
      <c r="D33" s="394"/>
      <c r="E33" s="394"/>
      <c r="F33" s="399">
        <v>5</v>
      </c>
      <c r="G33" s="394"/>
      <c r="H33" s="394"/>
      <c r="I33" s="397">
        <f t="shared" si="1"/>
        <v>200</v>
      </c>
      <c r="J33" s="430" t="s">
        <v>31</v>
      </c>
      <c r="K33" s="487"/>
      <c r="L33" s="488"/>
      <c r="M33" s="488"/>
      <c r="N33" s="488"/>
      <c r="O33" s="488"/>
      <c r="P33" s="489"/>
      <c r="Q33" s="397">
        <f t="shared" si="2"/>
        <v>0</v>
      </c>
    </row>
    <row r="34" spans="1:17">
      <c r="A34" s="373" t="s">
        <v>32</v>
      </c>
      <c r="B34" s="42" t="s">
        <v>788</v>
      </c>
      <c r="C34" s="394"/>
      <c r="D34" s="394"/>
      <c r="E34" s="394"/>
      <c r="F34" s="399">
        <v>2.5</v>
      </c>
      <c r="G34" s="394"/>
      <c r="H34" s="394"/>
      <c r="I34" s="397">
        <f t="shared" si="1"/>
        <v>100</v>
      </c>
      <c r="J34" s="430" t="s">
        <v>31</v>
      </c>
      <c r="K34" s="487"/>
      <c r="L34" s="488"/>
      <c r="M34" s="488"/>
      <c r="N34" s="488"/>
      <c r="O34" s="488"/>
      <c r="P34" s="489"/>
      <c r="Q34" s="397">
        <f t="shared" si="2"/>
        <v>0</v>
      </c>
    </row>
    <row r="35" spans="1:17">
      <c r="A35" s="373" t="s">
        <v>32</v>
      </c>
      <c r="B35" s="42" t="s">
        <v>789</v>
      </c>
      <c r="C35" s="394"/>
      <c r="D35" s="394"/>
      <c r="E35" s="394"/>
      <c r="F35" s="399">
        <v>5</v>
      </c>
      <c r="G35" s="394"/>
      <c r="H35" s="394"/>
      <c r="I35" s="397">
        <f t="shared" si="1"/>
        <v>200</v>
      </c>
      <c r="J35" s="430" t="s">
        <v>31</v>
      </c>
      <c r="K35" s="487"/>
      <c r="L35" s="488"/>
      <c r="M35" s="488"/>
      <c r="N35" s="488"/>
      <c r="O35" s="488"/>
      <c r="P35" s="489"/>
      <c r="Q35" s="397">
        <f t="shared" si="2"/>
        <v>0</v>
      </c>
    </row>
    <row r="36" spans="1:17">
      <c r="A36" s="373" t="s">
        <v>32</v>
      </c>
      <c r="B36" s="42" t="s">
        <v>790</v>
      </c>
      <c r="C36" s="394"/>
      <c r="D36" s="394"/>
      <c r="E36" s="394"/>
      <c r="F36" s="399">
        <v>3.5</v>
      </c>
      <c r="G36" s="394"/>
      <c r="H36" s="394"/>
      <c r="I36" s="397">
        <f t="shared" si="1"/>
        <v>140</v>
      </c>
      <c r="J36" s="430" t="s">
        <v>31</v>
      </c>
      <c r="K36" s="487"/>
      <c r="L36" s="488"/>
      <c r="M36" s="488"/>
      <c r="N36" s="488"/>
      <c r="O36" s="488"/>
      <c r="P36" s="489"/>
      <c r="Q36" s="397">
        <f t="shared" si="2"/>
        <v>0</v>
      </c>
    </row>
    <row r="37" spans="1:17">
      <c r="A37" s="373" t="s">
        <v>32</v>
      </c>
      <c r="B37" s="42" t="s">
        <v>791</v>
      </c>
      <c r="C37" s="394"/>
      <c r="D37" s="394"/>
      <c r="E37" s="394"/>
      <c r="F37" s="399">
        <v>1.5</v>
      </c>
      <c r="G37" s="394"/>
      <c r="H37" s="394"/>
      <c r="I37" s="397">
        <f t="shared" si="1"/>
        <v>60</v>
      </c>
      <c r="J37" s="430" t="s">
        <v>31</v>
      </c>
      <c r="K37" s="487"/>
      <c r="L37" s="488"/>
      <c r="M37" s="488"/>
      <c r="N37" s="488"/>
      <c r="O37" s="488"/>
      <c r="P37" s="489"/>
      <c r="Q37" s="397">
        <f t="shared" si="2"/>
        <v>0</v>
      </c>
    </row>
    <row r="38" spans="1:17">
      <c r="A38" s="373" t="s">
        <v>32</v>
      </c>
      <c r="B38" s="457" t="s">
        <v>792</v>
      </c>
      <c r="C38" s="394"/>
      <c r="D38" s="394"/>
      <c r="E38" s="394"/>
      <c r="F38" s="399">
        <v>4</v>
      </c>
      <c r="G38" s="394"/>
      <c r="H38" s="394"/>
      <c r="I38" s="397">
        <f t="shared" si="1"/>
        <v>160</v>
      </c>
      <c r="J38" s="430" t="s">
        <v>31</v>
      </c>
      <c r="K38" s="487"/>
      <c r="L38" s="488"/>
      <c r="M38" s="488"/>
      <c r="N38" s="488"/>
      <c r="O38" s="488"/>
      <c r="P38" s="489"/>
      <c r="Q38" s="397">
        <f t="shared" si="2"/>
        <v>0</v>
      </c>
    </row>
    <row r="39" spans="1:17">
      <c r="A39" s="373" t="s">
        <v>32</v>
      </c>
      <c r="B39" s="457" t="s">
        <v>793</v>
      </c>
      <c r="C39" s="394"/>
      <c r="D39" s="394"/>
      <c r="E39" s="394"/>
      <c r="F39" s="399">
        <v>20</v>
      </c>
      <c r="G39" s="394"/>
      <c r="H39" s="394"/>
      <c r="I39" s="397">
        <f t="shared" si="1"/>
        <v>800</v>
      </c>
      <c r="J39" s="430" t="s">
        <v>31</v>
      </c>
      <c r="K39" s="487"/>
      <c r="L39" s="488"/>
      <c r="M39" s="488"/>
      <c r="N39" s="488"/>
      <c r="O39" s="488"/>
      <c r="P39" s="489"/>
      <c r="Q39" s="397">
        <f t="shared" si="2"/>
        <v>0</v>
      </c>
    </row>
    <row r="40" spans="1:17">
      <c r="A40" s="373" t="s">
        <v>32</v>
      </c>
      <c r="B40" s="457" t="s">
        <v>794</v>
      </c>
      <c r="C40" s="394"/>
      <c r="D40" s="394"/>
      <c r="E40" s="394"/>
      <c r="F40" s="399">
        <v>2</v>
      </c>
      <c r="G40" s="394"/>
      <c r="H40" s="394"/>
      <c r="I40" s="397">
        <f t="shared" si="1"/>
        <v>80</v>
      </c>
      <c r="J40" s="430" t="s">
        <v>31</v>
      </c>
      <c r="K40" s="487"/>
      <c r="L40" s="488"/>
      <c r="M40" s="488"/>
      <c r="N40" s="488"/>
      <c r="O40" s="488"/>
      <c r="P40" s="489"/>
      <c r="Q40" s="397">
        <f t="shared" si="2"/>
        <v>0</v>
      </c>
    </row>
    <row r="41" spans="1:17">
      <c r="A41" s="373" t="s">
        <v>32</v>
      </c>
      <c r="B41" s="457" t="s">
        <v>795</v>
      </c>
      <c r="C41" s="394"/>
      <c r="D41" s="394"/>
      <c r="E41" s="394"/>
      <c r="F41" s="399">
        <v>2.5</v>
      </c>
      <c r="G41" s="394"/>
      <c r="H41" s="394"/>
      <c r="I41" s="397">
        <f t="shared" si="1"/>
        <v>100</v>
      </c>
      <c r="J41" s="430" t="s">
        <v>31</v>
      </c>
      <c r="K41" s="487"/>
      <c r="L41" s="488"/>
      <c r="M41" s="488"/>
      <c r="N41" s="488"/>
      <c r="O41" s="488"/>
      <c r="P41" s="489"/>
      <c r="Q41" s="397">
        <f t="shared" si="2"/>
        <v>0</v>
      </c>
    </row>
    <row r="42" spans="1:17">
      <c r="A42" s="373" t="s">
        <v>32</v>
      </c>
      <c r="B42" s="457" t="s">
        <v>796</v>
      </c>
      <c r="C42" s="394"/>
      <c r="D42" s="394"/>
      <c r="E42" s="394"/>
      <c r="F42" s="399">
        <v>4</v>
      </c>
      <c r="G42" s="394"/>
      <c r="H42" s="394"/>
      <c r="I42" s="397">
        <f t="shared" si="1"/>
        <v>160</v>
      </c>
      <c r="J42" s="430" t="s">
        <v>31</v>
      </c>
      <c r="K42" s="487"/>
      <c r="L42" s="488"/>
      <c r="M42" s="488"/>
      <c r="N42" s="488"/>
      <c r="O42" s="488"/>
      <c r="P42" s="489"/>
      <c r="Q42" s="397">
        <f t="shared" si="2"/>
        <v>0</v>
      </c>
    </row>
    <row r="43" spans="1:17">
      <c r="A43" s="373" t="s">
        <v>32</v>
      </c>
      <c r="B43" s="457" t="s">
        <v>797</v>
      </c>
      <c r="C43" s="394"/>
      <c r="D43" s="394"/>
      <c r="E43" s="394"/>
      <c r="F43" s="399">
        <v>3</v>
      </c>
      <c r="G43" s="394"/>
      <c r="H43" s="394"/>
      <c r="I43" s="397">
        <f t="shared" si="1"/>
        <v>120</v>
      </c>
      <c r="J43" s="430" t="s">
        <v>31</v>
      </c>
      <c r="K43" s="490"/>
      <c r="L43" s="491"/>
      <c r="M43" s="491"/>
      <c r="N43" s="491"/>
      <c r="O43" s="491"/>
      <c r="P43" s="492"/>
      <c r="Q43" s="397">
        <f t="shared" si="2"/>
        <v>0</v>
      </c>
    </row>
    <row r="44" spans="1:17">
      <c r="A44" s="458">
        <v>2</v>
      </c>
      <c r="B44" s="147" t="s">
        <v>35</v>
      </c>
      <c r="C44" s="399">
        <v>32</v>
      </c>
      <c r="D44" s="399">
        <v>4.5</v>
      </c>
      <c r="E44" s="394"/>
      <c r="F44" s="394"/>
      <c r="G44" s="394"/>
      <c r="H44" s="394"/>
      <c r="I44" s="397">
        <f t="shared" si="1"/>
        <v>935</v>
      </c>
      <c r="J44" s="443" t="s">
        <v>31</v>
      </c>
      <c r="K44" s="33">
        <v>40</v>
      </c>
      <c r="L44" s="33">
        <v>5</v>
      </c>
      <c r="M44" s="34"/>
      <c r="N44" s="34"/>
      <c r="O44" s="34"/>
      <c r="P44" s="34"/>
      <c r="Q44" s="444">
        <f t="shared" si="2"/>
        <v>1150</v>
      </c>
    </row>
    <row r="45" spans="1:17">
      <c r="A45" s="37">
        <v>3</v>
      </c>
      <c r="B45" s="147" t="s">
        <v>726</v>
      </c>
      <c r="C45" s="517"/>
      <c r="D45" s="480"/>
      <c r="E45" s="480"/>
      <c r="F45" s="480"/>
      <c r="G45" s="480"/>
      <c r="H45" s="478"/>
      <c r="I45" s="397">
        <f>C45*25+D45*30+E45*50+F45*40+G45*40+H45*25</f>
        <v>0</v>
      </c>
      <c r="J45" s="430" t="s">
        <v>31</v>
      </c>
      <c r="K45" s="33">
        <v>50</v>
      </c>
      <c r="L45" s="33">
        <v>5</v>
      </c>
      <c r="M45" s="34"/>
      <c r="N45" s="34"/>
      <c r="O45" s="34"/>
      <c r="P45" s="413"/>
      <c r="Q45" s="397">
        <f t="shared" si="2"/>
        <v>1400</v>
      </c>
    </row>
    <row r="46" spans="1:17">
      <c r="A46" s="373" t="s">
        <v>32</v>
      </c>
      <c r="B46" s="42" t="s">
        <v>33</v>
      </c>
      <c r="C46" s="399">
        <v>2</v>
      </c>
      <c r="D46" s="394"/>
      <c r="E46" s="394"/>
      <c r="F46" s="394"/>
      <c r="G46" s="394"/>
      <c r="H46" s="394"/>
      <c r="I46" s="397">
        <f t="shared" ref="I46:I67" si="3">C46*25+D46*30+E46*50+F46*40+G46*35+H46*25</f>
        <v>50</v>
      </c>
      <c r="J46" s="430" t="s">
        <v>31</v>
      </c>
      <c r="K46" s="484"/>
      <c r="L46" s="485"/>
      <c r="M46" s="485"/>
      <c r="N46" s="485"/>
      <c r="O46" s="485"/>
      <c r="P46" s="486"/>
      <c r="Q46" s="397">
        <f t="shared" si="2"/>
        <v>0</v>
      </c>
    </row>
    <row r="47" spans="1:17">
      <c r="A47" s="373" t="s">
        <v>32</v>
      </c>
      <c r="B47" s="42" t="s">
        <v>34</v>
      </c>
      <c r="C47" s="399">
        <v>4</v>
      </c>
      <c r="D47" s="394"/>
      <c r="E47" s="394"/>
      <c r="F47" s="394"/>
      <c r="G47" s="394"/>
      <c r="H47" s="394"/>
      <c r="I47" s="397">
        <f t="shared" si="3"/>
        <v>100</v>
      </c>
      <c r="J47" s="430" t="s">
        <v>31</v>
      </c>
      <c r="K47" s="487"/>
      <c r="L47" s="488"/>
      <c r="M47" s="488"/>
      <c r="N47" s="488"/>
      <c r="O47" s="488"/>
      <c r="P47" s="489"/>
      <c r="Q47" s="397">
        <f t="shared" si="2"/>
        <v>0</v>
      </c>
    </row>
    <row r="48" spans="1:17">
      <c r="A48" s="373" t="s">
        <v>32</v>
      </c>
      <c r="B48" s="42" t="s">
        <v>798</v>
      </c>
      <c r="C48" s="399">
        <v>8</v>
      </c>
      <c r="D48" s="394"/>
      <c r="E48" s="394"/>
      <c r="F48" s="394"/>
      <c r="G48" s="394"/>
      <c r="H48" s="394"/>
      <c r="I48" s="397">
        <f t="shared" si="3"/>
        <v>200</v>
      </c>
      <c r="J48" s="430" t="s">
        <v>31</v>
      </c>
      <c r="K48" s="487"/>
      <c r="L48" s="488"/>
      <c r="M48" s="488"/>
      <c r="N48" s="488"/>
      <c r="O48" s="488"/>
      <c r="P48" s="489"/>
      <c r="Q48" s="397">
        <f t="shared" si="2"/>
        <v>0</v>
      </c>
    </row>
    <row r="49" spans="1:17">
      <c r="A49" s="373" t="s">
        <v>32</v>
      </c>
      <c r="B49" s="42" t="s">
        <v>799</v>
      </c>
      <c r="C49" s="399">
        <v>2</v>
      </c>
      <c r="D49" s="394"/>
      <c r="E49" s="394"/>
      <c r="F49" s="394"/>
      <c r="G49" s="394"/>
      <c r="H49" s="394"/>
      <c r="I49" s="397">
        <f t="shared" si="3"/>
        <v>50</v>
      </c>
      <c r="J49" s="430" t="s">
        <v>31</v>
      </c>
      <c r="K49" s="487"/>
      <c r="L49" s="488"/>
      <c r="M49" s="488"/>
      <c r="N49" s="488"/>
      <c r="O49" s="488"/>
      <c r="P49" s="489"/>
      <c r="Q49" s="397">
        <f t="shared" si="2"/>
        <v>0</v>
      </c>
    </row>
    <row r="50" spans="1:17">
      <c r="A50" s="373" t="s">
        <v>32</v>
      </c>
      <c r="B50" s="42" t="s">
        <v>800</v>
      </c>
      <c r="C50" s="399">
        <v>0.5</v>
      </c>
      <c r="D50" s="394"/>
      <c r="E50" s="394"/>
      <c r="F50" s="394"/>
      <c r="G50" s="394"/>
      <c r="H50" s="394"/>
      <c r="I50" s="397">
        <f t="shared" si="3"/>
        <v>12.5</v>
      </c>
      <c r="J50" s="430" t="s">
        <v>31</v>
      </c>
      <c r="K50" s="487"/>
      <c r="L50" s="488"/>
      <c r="M50" s="488"/>
      <c r="N50" s="488"/>
      <c r="O50" s="488"/>
      <c r="P50" s="489"/>
      <c r="Q50" s="397">
        <f t="shared" si="2"/>
        <v>0</v>
      </c>
    </row>
    <row r="51" spans="1:17">
      <c r="A51" s="373" t="s">
        <v>32</v>
      </c>
      <c r="B51" s="42" t="s">
        <v>801</v>
      </c>
      <c r="C51" s="399">
        <v>4.5</v>
      </c>
      <c r="D51" s="394"/>
      <c r="E51" s="394"/>
      <c r="F51" s="394"/>
      <c r="G51" s="394"/>
      <c r="H51" s="394"/>
      <c r="I51" s="397">
        <f t="shared" si="3"/>
        <v>112.5</v>
      </c>
      <c r="J51" s="430" t="s">
        <v>31</v>
      </c>
      <c r="K51" s="487"/>
      <c r="L51" s="488"/>
      <c r="M51" s="488"/>
      <c r="N51" s="488"/>
      <c r="O51" s="488"/>
      <c r="P51" s="489"/>
      <c r="Q51" s="397">
        <f t="shared" si="2"/>
        <v>0</v>
      </c>
    </row>
    <row r="52" spans="1:17">
      <c r="A52" s="373" t="s">
        <v>32</v>
      </c>
      <c r="B52" s="42" t="s">
        <v>802</v>
      </c>
      <c r="C52" s="459">
        <v>6.5</v>
      </c>
      <c r="D52" s="394"/>
      <c r="E52" s="394"/>
      <c r="F52" s="394"/>
      <c r="G52" s="394"/>
      <c r="H52" s="394"/>
      <c r="I52" s="397">
        <f t="shared" si="3"/>
        <v>162.5</v>
      </c>
      <c r="J52" s="430" t="s">
        <v>31</v>
      </c>
      <c r="K52" s="487"/>
      <c r="L52" s="488"/>
      <c r="M52" s="488"/>
      <c r="N52" s="488"/>
      <c r="O52" s="488"/>
      <c r="P52" s="489"/>
      <c r="Q52" s="397">
        <f t="shared" si="2"/>
        <v>0</v>
      </c>
    </row>
    <row r="53" spans="1:17">
      <c r="A53" s="373" t="s">
        <v>32</v>
      </c>
      <c r="B53" s="42" t="s">
        <v>803</v>
      </c>
      <c r="C53" s="459">
        <v>2.5</v>
      </c>
      <c r="D53" s="394"/>
      <c r="E53" s="394"/>
      <c r="F53" s="394"/>
      <c r="G53" s="394"/>
      <c r="H53" s="394"/>
      <c r="I53" s="397">
        <f t="shared" si="3"/>
        <v>62.5</v>
      </c>
      <c r="J53" s="430" t="s">
        <v>31</v>
      </c>
      <c r="K53" s="487"/>
      <c r="L53" s="488"/>
      <c r="M53" s="488"/>
      <c r="N53" s="488"/>
      <c r="O53" s="488"/>
      <c r="P53" s="489"/>
      <c r="Q53" s="397">
        <f t="shared" si="2"/>
        <v>0</v>
      </c>
    </row>
    <row r="54" spans="1:17">
      <c r="A54" s="373" t="s">
        <v>32</v>
      </c>
      <c r="B54" s="42" t="s">
        <v>804</v>
      </c>
      <c r="C54" s="459">
        <v>2.5</v>
      </c>
      <c r="D54" s="394"/>
      <c r="E54" s="394"/>
      <c r="F54" s="394"/>
      <c r="G54" s="394"/>
      <c r="H54" s="394"/>
      <c r="I54" s="397">
        <f t="shared" si="3"/>
        <v>62.5</v>
      </c>
      <c r="J54" s="430" t="s">
        <v>31</v>
      </c>
      <c r="K54" s="487"/>
      <c r="L54" s="488"/>
      <c r="M54" s="488"/>
      <c r="N54" s="488"/>
      <c r="O54" s="488"/>
      <c r="P54" s="489"/>
      <c r="Q54" s="397">
        <f t="shared" si="2"/>
        <v>0</v>
      </c>
    </row>
    <row r="55" spans="1:17">
      <c r="A55" s="373" t="s">
        <v>32</v>
      </c>
      <c r="B55" s="42" t="s">
        <v>805</v>
      </c>
      <c r="C55" s="459">
        <v>2.5</v>
      </c>
      <c r="D55" s="394"/>
      <c r="E55" s="394"/>
      <c r="F55" s="394"/>
      <c r="G55" s="394"/>
      <c r="H55" s="394"/>
      <c r="I55" s="397">
        <f t="shared" si="3"/>
        <v>62.5</v>
      </c>
      <c r="J55" s="430" t="s">
        <v>31</v>
      </c>
      <c r="K55" s="487"/>
      <c r="L55" s="488"/>
      <c r="M55" s="488"/>
      <c r="N55" s="488"/>
      <c r="O55" s="488"/>
      <c r="P55" s="489"/>
      <c r="Q55" s="397">
        <f t="shared" si="2"/>
        <v>0</v>
      </c>
    </row>
    <row r="56" spans="1:17">
      <c r="A56" s="373" t="s">
        <v>32</v>
      </c>
      <c r="B56" s="42" t="s">
        <v>806</v>
      </c>
      <c r="C56" s="459">
        <v>2</v>
      </c>
      <c r="D56" s="394"/>
      <c r="E56" s="394"/>
      <c r="F56" s="394"/>
      <c r="G56" s="394"/>
      <c r="H56" s="394"/>
      <c r="I56" s="397">
        <f t="shared" si="3"/>
        <v>50</v>
      </c>
      <c r="J56" s="430" t="s">
        <v>31</v>
      </c>
      <c r="K56" s="487"/>
      <c r="L56" s="488"/>
      <c r="M56" s="488"/>
      <c r="N56" s="488"/>
      <c r="O56" s="488"/>
      <c r="P56" s="489"/>
      <c r="Q56" s="397">
        <f t="shared" si="2"/>
        <v>0</v>
      </c>
    </row>
    <row r="57" spans="1:17">
      <c r="A57" s="373" t="s">
        <v>32</v>
      </c>
      <c r="B57" s="42" t="s">
        <v>807</v>
      </c>
      <c r="C57" s="459">
        <v>3</v>
      </c>
      <c r="D57" s="394"/>
      <c r="E57" s="394"/>
      <c r="F57" s="394"/>
      <c r="G57" s="394"/>
      <c r="H57" s="394"/>
      <c r="I57" s="397">
        <f t="shared" si="3"/>
        <v>75</v>
      </c>
      <c r="J57" s="430" t="s">
        <v>31</v>
      </c>
      <c r="K57" s="487"/>
      <c r="L57" s="488"/>
      <c r="M57" s="488"/>
      <c r="N57" s="488"/>
      <c r="O57" s="488"/>
      <c r="P57" s="489"/>
      <c r="Q57" s="397">
        <f t="shared" si="2"/>
        <v>0</v>
      </c>
    </row>
    <row r="58" spans="1:17">
      <c r="A58" s="373" t="s">
        <v>32</v>
      </c>
      <c r="B58" s="42" t="s">
        <v>808</v>
      </c>
      <c r="C58" s="399">
        <v>8</v>
      </c>
      <c r="D58" s="394"/>
      <c r="E58" s="394"/>
      <c r="F58" s="394"/>
      <c r="G58" s="394"/>
      <c r="H58" s="394"/>
      <c r="I58" s="397">
        <f t="shared" si="3"/>
        <v>200</v>
      </c>
      <c r="J58" s="430" t="s">
        <v>31</v>
      </c>
      <c r="K58" s="490"/>
      <c r="L58" s="491"/>
      <c r="M58" s="491"/>
      <c r="N58" s="491"/>
      <c r="O58" s="491"/>
      <c r="P58" s="492"/>
      <c r="Q58" s="397">
        <f t="shared" si="2"/>
        <v>0</v>
      </c>
    </row>
    <row r="59" spans="1:17">
      <c r="A59" s="460">
        <v>4</v>
      </c>
      <c r="B59" s="142" t="s">
        <v>762</v>
      </c>
      <c r="C59" s="394"/>
      <c r="D59" s="447"/>
      <c r="E59" s="447"/>
      <c r="F59" s="447"/>
      <c r="G59" s="447"/>
      <c r="H59" s="447"/>
      <c r="I59" s="397">
        <f t="shared" si="3"/>
        <v>0</v>
      </c>
      <c r="J59" s="448" t="s">
        <v>31</v>
      </c>
      <c r="K59" s="161"/>
      <c r="L59" s="161"/>
      <c r="M59" s="161"/>
      <c r="N59" s="33">
        <v>12</v>
      </c>
      <c r="O59" s="33">
        <v>12</v>
      </c>
      <c r="P59" s="161"/>
      <c r="Q59" s="397">
        <f t="shared" si="2"/>
        <v>960</v>
      </c>
    </row>
    <row r="60" spans="1:17">
      <c r="A60" s="373" t="s">
        <v>32</v>
      </c>
      <c r="B60" s="42" t="s">
        <v>809</v>
      </c>
      <c r="C60" s="399">
        <v>0.5</v>
      </c>
      <c r="D60" s="394"/>
      <c r="E60" s="447"/>
      <c r="F60" s="461">
        <v>2.5</v>
      </c>
      <c r="G60" s="447"/>
      <c r="H60" s="394"/>
      <c r="I60" s="397">
        <f t="shared" si="3"/>
        <v>112.5</v>
      </c>
      <c r="J60" s="430" t="s">
        <v>31</v>
      </c>
      <c r="K60" s="484"/>
      <c r="L60" s="485"/>
      <c r="M60" s="485"/>
      <c r="N60" s="485"/>
      <c r="O60" s="485"/>
      <c r="P60" s="486"/>
      <c r="Q60" s="397">
        <f t="shared" si="2"/>
        <v>0</v>
      </c>
    </row>
    <row r="61" spans="1:17">
      <c r="A61" s="373" t="s">
        <v>32</v>
      </c>
      <c r="B61" s="42" t="s">
        <v>810</v>
      </c>
      <c r="C61" s="399">
        <v>0.5</v>
      </c>
      <c r="D61" s="394"/>
      <c r="E61" s="447"/>
      <c r="F61" s="461">
        <v>5</v>
      </c>
      <c r="G61" s="447"/>
      <c r="H61" s="394"/>
      <c r="I61" s="397">
        <f t="shared" si="3"/>
        <v>212.5</v>
      </c>
      <c r="J61" s="430" t="s">
        <v>31</v>
      </c>
      <c r="K61" s="487"/>
      <c r="L61" s="488"/>
      <c r="M61" s="488"/>
      <c r="N61" s="488"/>
      <c r="O61" s="488"/>
      <c r="P61" s="489"/>
      <c r="Q61" s="397">
        <f t="shared" si="2"/>
        <v>0</v>
      </c>
    </row>
    <row r="62" spans="1:17">
      <c r="A62" s="373" t="s">
        <v>32</v>
      </c>
      <c r="B62" s="42" t="s">
        <v>811</v>
      </c>
      <c r="C62" s="399">
        <v>0.5</v>
      </c>
      <c r="D62" s="394"/>
      <c r="E62" s="447"/>
      <c r="F62" s="461">
        <v>3</v>
      </c>
      <c r="G62" s="447"/>
      <c r="H62" s="394"/>
      <c r="I62" s="397">
        <f t="shared" si="3"/>
        <v>132.5</v>
      </c>
      <c r="J62" s="430" t="s">
        <v>31</v>
      </c>
      <c r="K62" s="487"/>
      <c r="L62" s="488"/>
      <c r="M62" s="488"/>
      <c r="N62" s="488"/>
      <c r="O62" s="488"/>
      <c r="P62" s="489"/>
      <c r="Q62" s="397">
        <f t="shared" si="2"/>
        <v>0</v>
      </c>
    </row>
    <row r="63" spans="1:17">
      <c r="A63" s="373" t="s">
        <v>32</v>
      </c>
      <c r="B63" s="42" t="s">
        <v>812</v>
      </c>
      <c r="C63" s="399">
        <v>1.5</v>
      </c>
      <c r="D63" s="394"/>
      <c r="E63" s="447"/>
      <c r="F63" s="461">
        <v>3</v>
      </c>
      <c r="G63" s="447"/>
      <c r="H63" s="394"/>
      <c r="I63" s="397">
        <f t="shared" si="3"/>
        <v>157.5</v>
      </c>
      <c r="J63" s="430" t="s">
        <v>31</v>
      </c>
      <c r="K63" s="487"/>
      <c r="L63" s="488"/>
      <c r="M63" s="488"/>
      <c r="N63" s="488"/>
      <c r="O63" s="488"/>
      <c r="P63" s="489"/>
      <c r="Q63" s="397">
        <f t="shared" si="2"/>
        <v>0</v>
      </c>
    </row>
    <row r="64" spans="1:17">
      <c r="A64" s="373" t="s">
        <v>32</v>
      </c>
      <c r="B64" s="42" t="s">
        <v>813</v>
      </c>
      <c r="C64" s="399">
        <v>0.5</v>
      </c>
      <c r="D64" s="394"/>
      <c r="E64" s="461">
        <v>0.5</v>
      </c>
      <c r="F64" s="461">
        <v>1.5</v>
      </c>
      <c r="G64" s="447"/>
      <c r="H64" s="394"/>
      <c r="I64" s="397">
        <f t="shared" si="3"/>
        <v>97.5</v>
      </c>
      <c r="J64" s="430" t="s">
        <v>31</v>
      </c>
      <c r="K64" s="487"/>
      <c r="L64" s="488"/>
      <c r="M64" s="488"/>
      <c r="N64" s="488"/>
      <c r="O64" s="488"/>
      <c r="P64" s="489"/>
      <c r="Q64" s="397">
        <f t="shared" si="2"/>
        <v>0</v>
      </c>
    </row>
    <row r="65" spans="1:17">
      <c r="A65" s="373" t="s">
        <v>32</v>
      </c>
      <c r="B65" s="42" t="s">
        <v>814</v>
      </c>
      <c r="C65" s="399">
        <v>3</v>
      </c>
      <c r="D65" s="394"/>
      <c r="E65" s="447"/>
      <c r="F65" s="461">
        <v>7</v>
      </c>
      <c r="G65" s="447"/>
      <c r="H65" s="394"/>
      <c r="I65" s="397">
        <f t="shared" si="3"/>
        <v>355</v>
      </c>
      <c r="J65" s="430" t="s">
        <v>31</v>
      </c>
      <c r="K65" s="487"/>
      <c r="L65" s="488"/>
      <c r="M65" s="488"/>
      <c r="N65" s="488"/>
      <c r="O65" s="488"/>
      <c r="P65" s="489"/>
      <c r="Q65" s="397">
        <f t="shared" si="2"/>
        <v>0</v>
      </c>
    </row>
    <row r="66" spans="1:17">
      <c r="A66" s="373" t="s">
        <v>32</v>
      </c>
      <c r="B66" s="42" t="s">
        <v>815</v>
      </c>
      <c r="C66" s="399">
        <v>2</v>
      </c>
      <c r="D66" s="394"/>
      <c r="E66" s="447"/>
      <c r="F66" s="461">
        <v>4</v>
      </c>
      <c r="G66" s="447"/>
      <c r="H66" s="394"/>
      <c r="I66" s="397">
        <f t="shared" si="3"/>
        <v>210</v>
      </c>
      <c r="J66" s="430" t="s">
        <v>31</v>
      </c>
      <c r="K66" s="487"/>
      <c r="L66" s="488"/>
      <c r="M66" s="488"/>
      <c r="N66" s="488"/>
      <c r="O66" s="488"/>
      <c r="P66" s="489"/>
      <c r="Q66" s="397">
        <f t="shared" si="2"/>
        <v>0</v>
      </c>
    </row>
    <row r="67" spans="1:17">
      <c r="A67" s="373" t="s">
        <v>32</v>
      </c>
      <c r="B67" s="457" t="s">
        <v>816</v>
      </c>
      <c r="C67" s="399">
        <v>0.5</v>
      </c>
      <c r="D67" s="394"/>
      <c r="E67" s="447"/>
      <c r="F67" s="461">
        <v>1.5</v>
      </c>
      <c r="G67" s="447"/>
      <c r="H67" s="394"/>
      <c r="I67" s="397">
        <f t="shared" si="3"/>
        <v>72.5</v>
      </c>
      <c r="J67" s="430" t="s">
        <v>31</v>
      </c>
      <c r="K67" s="490"/>
      <c r="L67" s="491"/>
      <c r="M67" s="491"/>
      <c r="N67" s="491"/>
      <c r="O67" s="491"/>
      <c r="P67" s="492"/>
      <c r="Q67" s="397">
        <f t="shared" si="2"/>
        <v>0</v>
      </c>
    </row>
    <row r="68" spans="1:17">
      <c r="A68" s="12"/>
      <c r="B68" s="12"/>
      <c r="C68" s="12"/>
      <c r="D68" s="12"/>
      <c r="E68" s="12"/>
      <c r="F68" s="12"/>
      <c r="G68" s="12"/>
      <c r="H68" s="462" t="s">
        <v>38</v>
      </c>
      <c r="I68" s="463">
        <f>SUM(I59:I67)+SUM(I16:I43)+SUM(I44:I58)</f>
        <v>11825</v>
      </c>
      <c r="J68" s="413"/>
      <c r="K68" s="12"/>
      <c r="L68" s="12"/>
      <c r="M68" s="12"/>
      <c r="N68" s="12"/>
      <c r="O68" s="413"/>
      <c r="P68" s="462" t="s">
        <v>38</v>
      </c>
      <c r="Q68" s="463">
        <f>SUM(Q59:Q67)+SUM(Q15:Q43)+SUM(Q44:Q58)</f>
        <v>5710</v>
      </c>
    </row>
  </sheetData>
  <mergeCells count="9">
    <mergeCell ref="K46:P58"/>
    <mergeCell ref="K60:P67"/>
    <mergeCell ref="A12:D12"/>
    <mergeCell ref="A13:B13"/>
    <mergeCell ref="C13:I13"/>
    <mergeCell ref="J13:J14"/>
    <mergeCell ref="K13:Q13"/>
    <mergeCell ref="K16:P43"/>
    <mergeCell ref="C45:H45"/>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ummaryRight="0"/>
  </sheetPr>
  <dimension ref="A1:I52"/>
  <sheetViews>
    <sheetView tabSelected="1" workbookViewId="0">
      <selection activeCell="L13" sqref="L13"/>
    </sheetView>
  </sheetViews>
  <sheetFormatPr defaultColWidth="12.5703125" defaultRowHeight="15.75" customHeight="1"/>
  <cols>
    <col min="1" max="1" width="10" customWidth="1"/>
    <col min="2" max="2" width="55.85546875" customWidth="1"/>
  </cols>
  <sheetData>
    <row r="1" spans="1:9">
      <c r="A1" s="11" t="s">
        <v>11</v>
      </c>
      <c r="B1" s="11" t="s">
        <v>12</v>
      </c>
      <c r="C1" s="11" t="s">
        <v>3</v>
      </c>
      <c r="D1" s="11" t="s">
        <v>13</v>
      </c>
      <c r="E1" s="11" t="s">
        <v>4</v>
      </c>
      <c r="G1" s="6"/>
    </row>
    <row r="2" spans="1:9">
      <c r="A2" s="13">
        <v>1</v>
      </c>
      <c r="B2" s="14" t="s">
        <v>14</v>
      </c>
      <c r="C2" s="466"/>
      <c r="D2" s="15"/>
      <c r="E2" s="15">
        <f t="shared" ref="E2:E10" si="0">D2*C2</f>
        <v>0</v>
      </c>
      <c r="G2" s="6"/>
    </row>
    <row r="3" spans="1:9">
      <c r="A3" s="13">
        <v>2</v>
      </c>
      <c r="B3" s="14" t="s">
        <v>15</v>
      </c>
      <c r="C3" s="14"/>
      <c r="D3" s="17"/>
      <c r="E3" s="17">
        <f t="shared" si="0"/>
        <v>0</v>
      </c>
      <c r="G3" s="6"/>
    </row>
    <row r="4" spans="1:9">
      <c r="A4" s="13">
        <v>3</v>
      </c>
      <c r="B4" s="106" t="s">
        <v>819</v>
      </c>
      <c r="C4" s="14"/>
      <c r="D4" s="17"/>
      <c r="E4" s="17">
        <f t="shared" si="0"/>
        <v>0</v>
      </c>
      <c r="G4" s="6"/>
    </row>
    <row r="5" spans="1:9">
      <c r="A5" s="13">
        <v>4</v>
      </c>
      <c r="B5" s="18" t="s">
        <v>17</v>
      </c>
      <c r="C5" s="467"/>
      <c r="D5" s="19"/>
      <c r="E5" s="19">
        <f t="shared" si="0"/>
        <v>0</v>
      </c>
      <c r="G5" s="6"/>
    </row>
    <row r="6" spans="1:9">
      <c r="A6" s="13">
        <v>5</v>
      </c>
      <c r="B6" s="20" t="s">
        <v>18</v>
      </c>
      <c r="C6" s="453"/>
      <c r="D6" s="21"/>
      <c r="E6" s="21">
        <f t="shared" si="0"/>
        <v>0</v>
      </c>
      <c r="G6" s="6"/>
    </row>
    <row r="7" spans="1:9">
      <c r="A7" s="13">
        <v>6</v>
      </c>
      <c r="B7" s="20" t="s">
        <v>19</v>
      </c>
      <c r="C7" s="20"/>
      <c r="D7" s="22"/>
      <c r="E7" s="22">
        <f t="shared" si="0"/>
        <v>0</v>
      </c>
      <c r="G7" s="6"/>
    </row>
    <row r="8" spans="1:9">
      <c r="A8" s="13">
        <v>7</v>
      </c>
      <c r="B8" s="23" t="s">
        <v>20</v>
      </c>
      <c r="C8" s="25"/>
      <c r="D8" s="24"/>
      <c r="E8" s="24">
        <f t="shared" si="0"/>
        <v>0</v>
      </c>
    </row>
    <row r="9" spans="1:9">
      <c r="A9" s="13">
        <v>8</v>
      </c>
      <c r="B9" s="23" t="s">
        <v>20</v>
      </c>
      <c r="C9" s="25"/>
      <c r="D9" s="24"/>
      <c r="E9" s="24">
        <f t="shared" si="0"/>
        <v>0</v>
      </c>
    </row>
    <row r="10" spans="1:9">
      <c r="A10" s="13">
        <v>9</v>
      </c>
      <c r="B10" s="23" t="s">
        <v>21</v>
      </c>
      <c r="C10" s="23"/>
      <c r="D10" s="26"/>
      <c r="E10" s="24">
        <f t="shared" si="0"/>
        <v>0</v>
      </c>
    </row>
    <row r="11" spans="1:9">
      <c r="A11" s="474"/>
      <c r="B11" s="475"/>
      <c r="C11" s="475"/>
      <c r="D11" s="476"/>
      <c r="E11" s="27">
        <f>SUM(E2:E10)</f>
        <v>0</v>
      </c>
    </row>
    <row r="13" spans="1:9">
      <c r="A13" s="514"/>
      <c r="B13" s="478"/>
      <c r="C13" s="479" t="s">
        <v>23</v>
      </c>
      <c r="D13" s="480"/>
      <c r="E13" s="480"/>
      <c r="F13" s="480"/>
      <c r="G13" s="480"/>
      <c r="H13" s="480"/>
      <c r="I13" s="478"/>
    </row>
    <row r="14" spans="1:9">
      <c r="A14" s="147" t="s">
        <v>11</v>
      </c>
      <c r="B14" s="147" t="s">
        <v>0</v>
      </c>
      <c r="C14" s="147" t="s">
        <v>24</v>
      </c>
      <c r="D14" s="147" t="s">
        <v>25</v>
      </c>
      <c r="E14" s="147" t="s">
        <v>26</v>
      </c>
      <c r="F14" s="147" t="s">
        <v>27</v>
      </c>
      <c r="G14" s="147" t="s">
        <v>28</v>
      </c>
      <c r="H14" s="147" t="s">
        <v>21</v>
      </c>
      <c r="I14" s="283" t="s">
        <v>30</v>
      </c>
    </row>
    <row r="15" spans="1:9">
      <c r="A15" s="464">
        <v>1</v>
      </c>
      <c r="B15" s="465" t="s">
        <v>820</v>
      </c>
      <c r="C15" s="33"/>
      <c r="D15" s="33"/>
      <c r="E15" s="33"/>
      <c r="F15" s="33"/>
      <c r="G15" s="33"/>
      <c r="H15" s="33"/>
      <c r="I15" s="35"/>
    </row>
    <row r="16" spans="1:9">
      <c r="A16" s="464" t="s">
        <v>32</v>
      </c>
      <c r="B16" s="393" t="s">
        <v>821</v>
      </c>
      <c r="C16" s="33"/>
      <c r="D16" s="33"/>
      <c r="E16" s="33"/>
      <c r="F16" s="33">
        <v>12</v>
      </c>
      <c r="G16" s="33"/>
      <c r="H16" s="33"/>
      <c r="I16" s="35"/>
    </row>
    <row r="17" spans="1:9">
      <c r="A17" s="383"/>
      <c r="B17" s="403" t="s">
        <v>822</v>
      </c>
      <c r="C17" s="33"/>
      <c r="D17" s="33"/>
      <c r="E17" s="33">
        <v>2</v>
      </c>
      <c r="F17" s="33">
        <v>32</v>
      </c>
      <c r="G17" s="33"/>
      <c r="H17" s="33"/>
      <c r="I17" s="35"/>
    </row>
    <row r="18" spans="1:9">
      <c r="A18" s="464" t="s">
        <v>32</v>
      </c>
      <c r="B18" s="393" t="s">
        <v>823</v>
      </c>
      <c r="C18" s="33"/>
      <c r="D18" s="33"/>
      <c r="E18" s="33"/>
      <c r="F18" s="33"/>
      <c r="G18" s="206">
        <v>12</v>
      </c>
      <c r="H18" s="33"/>
      <c r="I18" s="35"/>
    </row>
    <row r="19" spans="1:9">
      <c r="A19" s="464" t="s">
        <v>32</v>
      </c>
      <c r="B19" s="393" t="s">
        <v>824</v>
      </c>
      <c r="C19" s="33"/>
      <c r="D19" s="33"/>
      <c r="E19" s="33"/>
      <c r="F19" s="33">
        <v>4</v>
      </c>
      <c r="G19" s="33"/>
      <c r="H19" s="33"/>
      <c r="I19" s="35"/>
    </row>
    <row r="20" spans="1:9">
      <c r="A20" s="464">
        <v>2</v>
      </c>
      <c r="B20" s="465" t="s">
        <v>825</v>
      </c>
      <c r="C20" s="33"/>
      <c r="D20" s="33"/>
      <c r="E20" s="33">
        <v>1</v>
      </c>
      <c r="F20" s="206">
        <v>40</v>
      </c>
      <c r="G20" s="33"/>
      <c r="H20" s="33"/>
      <c r="I20" s="35"/>
    </row>
    <row r="21" spans="1:9">
      <c r="A21" s="464">
        <v>3</v>
      </c>
      <c r="B21" s="465" t="s">
        <v>826</v>
      </c>
      <c r="C21" s="33"/>
      <c r="D21" s="33"/>
      <c r="E21" s="33"/>
      <c r="F21" s="33">
        <v>0</v>
      </c>
      <c r="G21" s="33"/>
      <c r="H21" s="33"/>
      <c r="I21" s="468"/>
    </row>
    <row r="22" spans="1:9">
      <c r="A22" s="464" t="s">
        <v>32</v>
      </c>
      <c r="B22" s="393" t="s">
        <v>827</v>
      </c>
      <c r="C22" s="33"/>
      <c r="D22" s="33"/>
      <c r="E22" s="33">
        <v>1</v>
      </c>
      <c r="F22" s="33">
        <v>6</v>
      </c>
      <c r="G22" s="33"/>
      <c r="H22" s="33"/>
      <c r="I22" s="35"/>
    </row>
    <row r="23" spans="1:9">
      <c r="A23" s="464" t="s">
        <v>32</v>
      </c>
      <c r="B23" s="393" t="s">
        <v>828</v>
      </c>
      <c r="C23" s="33"/>
      <c r="D23" s="33"/>
      <c r="E23" s="33">
        <v>2</v>
      </c>
      <c r="F23" s="33">
        <v>12</v>
      </c>
      <c r="G23" s="33"/>
      <c r="H23" s="33"/>
      <c r="I23" s="35"/>
    </row>
    <row r="24" spans="1:9">
      <c r="A24" s="464" t="s">
        <v>32</v>
      </c>
      <c r="B24" s="393" t="s">
        <v>829</v>
      </c>
      <c r="C24" s="33"/>
      <c r="D24" s="33"/>
      <c r="E24" s="33"/>
      <c r="F24" s="33">
        <v>4</v>
      </c>
      <c r="G24" s="33"/>
      <c r="H24" s="33"/>
      <c r="I24" s="35"/>
    </row>
    <row r="25" spans="1:9">
      <c r="A25" s="464" t="s">
        <v>32</v>
      </c>
      <c r="B25" s="393" t="s">
        <v>830</v>
      </c>
      <c r="C25" s="33"/>
      <c r="D25" s="33"/>
      <c r="E25" s="33">
        <v>1</v>
      </c>
      <c r="F25" s="33">
        <v>4</v>
      </c>
      <c r="G25" s="33"/>
      <c r="H25" s="33"/>
      <c r="I25" s="35"/>
    </row>
    <row r="26" spans="1:9">
      <c r="A26" s="464" t="s">
        <v>32</v>
      </c>
      <c r="B26" s="393" t="s">
        <v>831</v>
      </c>
      <c r="C26" s="33"/>
      <c r="D26" s="33"/>
      <c r="E26" s="33">
        <v>1</v>
      </c>
      <c r="F26" s="33">
        <v>8</v>
      </c>
      <c r="G26" s="33"/>
      <c r="H26" s="33"/>
      <c r="I26" s="35"/>
    </row>
    <row r="27" spans="1:9">
      <c r="A27" s="464" t="s">
        <v>32</v>
      </c>
      <c r="B27" s="393" t="s">
        <v>832</v>
      </c>
      <c r="C27" s="33">
        <v>2</v>
      </c>
      <c r="D27" s="33"/>
      <c r="E27" s="33">
        <v>2</v>
      </c>
      <c r="F27" s="33">
        <v>12</v>
      </c>
      <c r="G27" s="33"/>
      <c r="H27" s="33"/>
      <c r="I27" s="35"/>
    </row>
    <row r="28" spans="1:9">
      <c r="A28" s="464" t="s">
        <v>32</v>
      </c>
      <c r="B28" s="393" t="s">
        <v>833</v>
      </c>
      <c r="C28" s="33"/>
      <c r="D28" s="33"/>
      <c r="E28" s="33"/>
      <c r="F28" s="33">
        <v>8</v>
      </c>
      <c r="G28" s="33"/>
      <c r="H28" s="33"/>
      <c r="I28" s="35"/>
    </row>
    <row r="29" spans="1:9">
      <c r="A29" s="464">
        <v>4</v>
      </c>
      <c r="B29" s="469" t="s">
        <v>834</v>
      </c>
      <c r="C29" s="33"/>
      <c r="D29" s="33"/>
      <c r="E29" s="33"/>
      <c r="F29" s="33">
        <v>21</v>
      </c>
      <c r="G29" s="33"/>
      <c r="H29" s="33"/>
      <c r="I29" s="35"/>
    </row>
    <row r="30" spans="1:9">
      <c r="A30" s="464">
        <v>5</v>
      </c>
      <c r="B30" s="465" t="s">
        <v>835</v>
      </c>
      <c r="C30" s="33"/>
      <c r="D30" s="33"/>
      <c r="E30" s="33"/>
      <c r="F30" s="33"/>
      <c r="G30" s="33"/>
      <c r="H30" s="33"/>
      <c r="I30" s="35"/>
    </row>
    <row r="31" spans="1:9">
      <c r="A31" s="464" t="s">
        <v>32</v>
      </c>
      <c r="B31" s="393" t="s">
        <v>836</v>
      </c>
      <c r="C31" s="33"/>
      <c r="D31" s="33"/>
      <c r="E31" s="33"/>
      <c r="F31" s="33">
        <v>8</v>
      </c>
      <c r="G31" s="33"/>
      <c r="H31" s="33"/>
      <c r="I31" s="35"/>
    </row>
    <row r="32" spans="1:9">
      <c r="A32" s="464" t="s">
        <v>32</v>
      </c>
      <c r="B32" s="393" t="s">
        <v>837</v>
      </c>
      <c r="C32" s="33"/>
      <c r="D32" s="33"/>
      <c r="E32" s="33"/>
      <c r="F32" s="206">
        <v>18</v>
      </c>
      <c r="G32" s="33"/>
      <c r="H32" s="33"/>
      <c r="I32" s="35"/>
    </row>
    <row r="33" spans="1:9">
      <c r="A33" s="464">
        <v>6</v>
      </c>
      <c r="B33" s="465" t="s">
        <v>33</v>
      </c>
      <c r="C33" s="33">
        <v>15</v>
      </c>
      <c r="D33" s="33"/>
      <c r="E33" s="33">
        <v>5</v>
      </c>
      <c r="F33" s="33">
        <v>110</v>
      </c>
      <c r="G33" s="33"/>
      <c r="H33" s="33"/>
      <c r="I33" s="35"/>
    </row>
    <row r="34" spans="1:9">
      <c r="A34" s="464" t="s">
        <v>32</v>
      </c>
      <c r="B34" s="393" t="s">
        <v>838</v>
      </c>
      <c r="C34" s="33"/>
      <c r="D34" s="33"/>
      <c r="E34" s="33"/>
      <c r="F34" s="33"/>
      <c r="G34" s="33"/>
      <c r="H34" s="33"/>
      <c r="I34" s="35"/>
    </row>
    <row r="35" spans="1:9">
      <c r="A35" s="464" t="s">
        <v>32</v>
      </c>
      <c r="B35" s="393" t="s">
        <v>839</v>
      </c>
      <c r="C35" s="33"/>
      <c r="D35" s="33"/>
      <c r="E35" s="33"/>
      <c r="F35" s="33"/>
      <c r="G35" s="33"/>
      <c r="H35" s="33"/>
      <c r="I35" s="35"/>
    </row>
    <row r="36" spans="1:9">
      <c r="A36" s="464" t="s">
        <v>32</v>
      </c>
      <c r="B36" s="408" t="s">
        <v>840</v>
      </c>
      <c r="C36" s="33"/>
      <c r="D36" s="33"/>
      <c r="E36" s="33"/>
      <c r="F36" s="33"/>
      <c r="G36" s="33"/>
      <c r="H36" s="33"/>
      <c r="I36" s="35"/>
    </row>
    <row r="37" spans="1:9">
      <c r="A37" s="464" t="s">
        <v>32</v>
      </c>
      <c r="B37" s="393" t="s">
        <v>841</v>
      </c>
      <c r="C37" s="33"/>
      <c r="D37" s="33"/>
      <c r="E37" s="33"/>
      <c r="F37" s="33"/>
      <c r="G37" s="33"/>
      <c r="H37" s="33"/>
      <c r="I37" s="35"/>
    </row>
    <row r="38" spans="1:9">
      <c r="A38" s="464" t="s">
        <v>32</v>
      </c>
      <c r="B38" s="393" t="s">
        <v>842</v>
      </c>
      <c r="C38" s="33"/>
      <c r="D38" s="33"/>
      <c r="E38" s="33"/>
      <c r="F38" s="33"/>
      <c r="G38" s="33"/>
      <c r="H38" s="33"/>
      <c r="I38" s="35"/>
    </row>
    <row r="39" spans="1:9">
      <c r="A39" s="464">
        <v>7</v>
      </c>
      <c r="B39" s="465" t="s">
        <v>817</v>
      </c>
      <c r="C39" s="33"/>
      <c r="D39" s="33"/>
      <c r="E39" s="33"/>
      <c r="F39" s="33"/>
      <c r="G39" s="33"/>
      <c r="H39" s="33"/>
      <c r="I39" s="35"/>
    </row>
    <row r="40" spans="1:9">
      <c r="A40" s="464" t="s">
        <v>32</v>
      </c>
      <c r="B40" s="393" t="s">
        <v>843</v>
      </c>
      <c r="C40" s="33">
        <v>32</v>
      </c>
      <c r="D40" s="33">
        <v>2</v>
      </c>
      <c r="E40" s="33"/>
      <c r="F40" s="33"/>
      <c r="G40" s="33"/>
      <c r="H40" s="33"/>
      <c r="I40" s="35"/>
    </row>
    <row r="41" spans="1:9">
      <c r="A41" s="464" t="s">
        <v>32</v>
      </c>
      <c r="B41" s="393" t="s">
        <v>844</v>
      </c>
      <c r="C41" s="33">
        <v>8</v>
      </c>
      <c r="D41" s="33"/>
      <c r="E41" s="33"/>
      <c r="F41" s="33"/>
      <c r="G41" s="33"/>
      <c r="H41" s="33"/>
      <c r="I41" s="35"/>
    </row>
    <row r="42" spans="1:9">
      <c r="A42" s="464" t="s">
        <v>32</v>
      </c>
      <c r="B42" s="393" t="s">
        <v>845</v>
      </c>
      <c r="C42" s="33">
        <v>8</v>
      </c>
      <c r="D42" s="33"/>
      <c r="E42" s="33"/>
      <c r="F42" s="33"/>
      <c r="G42" s="33"/>
      <c r="H42" s="33"/>
      <c r="I42" s="35"/>
    </row>
    <row r="43" spans="1:9">
      <c r="A43" s="464" t="s">
        <v>32</v>
      </c>
      <c r="B43" s="408" t="s">
        <v>846</v>
      </c>
      <c r="C43" s="33">
        <v>48</v>
      </c>
      <c r="D43" s="33">
        <v>5</v>
      </c>
      <c r="E43" s="33"/>
      <c r="F43" s="33"/>
      <c r="G43" s="33"/>
      <c r="H43" s="33"/>
      <c r="I43" s="35"/>
    </row>
    <row r="44" spans="1:9">
      <c r="A44" s="464" t="s">
        <v>32</v>
      </c>
      <c r="B44" s="408" t="s">
        <v>847</v>
      </c>
      <c r="C44" s="33"/>
      <c r="D44" s="33"/>
      <c r="E44" s="33"/>
      <c r="F44" s="206">
        <v>20</v>
      </c>
      <c r="G44" s="33"/>
      <c r="H44" s="33"/>
      <c r="I44" s="35"/>
    </row>
    <row r="45" spans="1:9">
      <c r="A45" s="464">
        <v>8</v>
      </c>
      <c r="B45" s="465" t="s">
        <v>848</v>
      </c>
      <c r="C45" s="33"/>
      <c r="D45" s="33"/>
      <c r="E45" s="33"/>
      <c r="F45" s="33"/>
      <c r="G45" s="33"/>
      <c r="H45" s="33"/>
      <c r="I45" s="35"/>
    </row>
    <row r="46" spans="1:9">
      <c r="A46" s="464" t="s">
        <v>32</v>
      </c>
      <c r="B46" s="393" t="s">
        <v>849</v>
      </c>
      <c r="C46" s="33">
        <v>16</v>
      </c>
      <c r="D46" s="33"/>
      <c r="E46" s="33"/>
      <c r="F46" s="33"/>
      <c r="G46" s="33"/>
      <c r="H46" s="33"/>
      <c r="I46" s="35"/>
    </row>
    <row r="47" spans="1:9">
      <c r="A47" s="464" t="s">
        <v>32</v>
      </c>
      <c r="B47" s="393" t="s">
        <v>850</v>
      </c>
      <c r="C47" s="33">
        <v>16</v>
      </c>
      <c r="D47" s="33"/>
      <c r="E47" s="33"/>
      <c r="F47" s="33"/>
      <c r="G47" s="33"/>
      <c r="H47" s="33"/>
      <c r="I47" s="35"/>
    </row>
    <row r="48" spans="1:9">
      <c r="A48" s="464" t="s">
        <v>32</v>
      </c>
      <c r="B48" s="393" t="s">
        <v>851</v>
      </c>
      <c r="C48" s="33">
        <v>8</v>
      </c>
      <c r="D48" s="33"/>
      <c r="E48" s="33"/>
      <c r="F48" s="33"/>
      <c r="G48" s="33"/>
      <c r="H48" s="33"/>
      <c r="I48" s="35"/>
    </row>
    <row r="49" spans="1:9">
      <c r="A49" s="464" t="s">
        <v>32</v>
      </c>
      <c r="B49" s="393" t="s">
        <v>852</v>
      </c>
      <c r="C49" s="33">
        <v>8</v>
      </c>
      <c r="D49" s="33"/>
      <c r="E49" s="33"/>
      <c r="F49" s="33"/>
      <c r="G49" s="33"/>
      <c r="H49" s="33"/>
      <c r="I49" s="35"/>
    </row>
    <row r="50" spans="1:9">
      <c r="A50" s="464">
        <v>9</v>
      </c>
      <c r="B50" s="465" t="s">
        <v>853</v>
      </c>
      <c r="C50" s="33">
        <v>32</v>
      </c>
      <c r="D50" s="33">
        <v>5</v>
      </c>
      <c r="E50" s="33">
        <v>3</v>
      </c>
      <c r="F50" s="33">
        <v>30</v>
      </c>
      <c r="G50" s="33">
        <v>10</v>
      </c>
      <c r="H50" s="33"/>
      <c r="I50" s="35"/>
    </row>
    <row r="51" spans="1:9">
      <c r="A51" s="464">
        <v>10</v>
      </c>
      <c r="B51" s="465" t="s">
        <v>818</v>
      </c>
      <c r="C51" s="33">
        <v>48</v>
      </c>
      <c r="D51" s="33">
        <v>5</v>
      </c>
      <c r="E51" s="33"/>
      <c r="F51" s="33"/>
      <c r="G51" s="33"/>
      <c r="H51" s="33"/>
      <c r="I51" s="35"/>
    </row>
    <row r="52" spans="1:9">
      <c r="A52" s="383"/>
      <c r="B52" s="464" t="s">
        <v>38</v>
      </c>
      <c r="C52" s="452">
        <f t="shared" ref="C52:H52" si="1">SUM(C15:C51)</f>
        <v>241</v>
      </c>
      <c r="D52" s="452">
        <f t="shared" si="1"/>
        <v>17</v>
      </c>
      <c r="E52" s="452">
        <f t="shared" si="1"/>
        <v>18</v>
      </c>
      <c r="F52" s="452">
        <f t="shared" si="1"/>
        <v>349</v>
      </c>
      <c r="G52" s="452">
        <f t="shared" si="1"/>
        <v>22</v>
      </c>
      <c r="H52" s="452">
        <f t="shared" si="1"/>
        <v>0</v>
      </c>
      <c r="I52" s="44"/>
    </row>
  </sheetData>
  <mergeCells count="3">
    <mergeCell ref="A11:D11"/>
    <mergeCell ref="A13:B13"/>
    <mergeCell ref="C13:I13"/>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outlinePr summaryBelow="0" summaryRight="0"/>
  </sheetPr>
  <dimension ref="A1:H14"/>
  <sheetViews>
    <sheetView workbookViewId="0">
      <pane ySplit="1" topLeftCell="A2" activePane="bottomLeft" state="frozen"/>
      <selection pane="bottomLeft" activeCell="B3" sqref="B3"/>
    </sheetView>
  </sheetViews>
  <sheetFormatPr defaultColWidth="12.5703125" defaultRowHeight="15.75" customHeight="1"/>
  <cols>
    <col min="1" max="1" width="5.140625" customWidth="1"/>
    <col min="2" max="2" width="67.5703125" customWidth="1"/>
    <col min="3" max="3" width="17" customWidth="1"/>
    <col min="4" max="4" width="20.5703125" hidden="1" customWidth="1"/>
    <col min="7" max="7" width="32.42578125" customWidth="1"/>
    <col min="8" max="8" width="16.5703125" customWidth="1"/>
  </cols>
  <sheetData>
    <row r="1" spans="1:8">
      <c r="A1" s="1" t="s">
        <v>39</v>
      </c>
      <c r="B1" s="1" t="s">
        <v>0</v>
      </c>
      <c r="C1" s="1" t="s">
        <v>1</v>
      </c>
      <c r="D1" s="1" t="s">
        <v>2</v>
      </c>
      <c r="E1" s="1" t="s">
        <v>3</v>
      </c>
      <c r="F1" s="1" t="s">
        <v>4</v>
      </c>
      <c r="G1" s="1" t="s">
        <v>5</v>
      </c>
    </row>
    <row r="2" spans="1:8">
      <c r="A2" s="2"/>
      <c r="B2" s="2" t="s">
        <v>854</v>
      </c>
      <c r="C2" s="2">
        <v>37</v>
      </c>
      <c r="D2" s="4"/>
      <c r="E2" s="470">
        <v>30</v>
      </c>
      <c r="F2" s="50">
        <f t="shared" ref="F2:F7" si="0">E2*40</f>
        <v>1200</v>
      </c>
      <c r="G2" s="5" t="s">
        <v>41</v>
      </c>
      <c r="H2" s="9"/>
    </row>
    <row r="3" spans="1:8">
      <c r="A3" s="2"/>
      <c r="B3" s="3" t="s">
        <v>855</v>
      </c>
      <c r="C3" s="2">
        <v>5</v>
      </c>
      <c r="D3" s="4"/>
      <c r="E3" s="471"/>
      <c r="F3" s="50">
        <f t="shared" si="0"/>
        <v>0</v>
      </c>
      <c r="G3" s="5" t="s">
        <v>88</v>
      </c>
    </row>
    <row r="4" spans="1:8">
      <c r="A4" s="2"/>
      <c r="B4" s="3" t="s">
        <v>856</v>
      </c>
      <c r="C4" s="74">
        <v>9</v>
      </c>
      <c r="D4" s="4"/>
      <c r="E4" s="471"/>
      <c r="F4" s="50">
        <f t="shared" si="0"/>
        <v>0</v>
      </c>
      <c r="G4" s="5" t="s">
        <v>88</v>
      </c>
      <c r="H4" s="6" t="s">
        <v>857</v>
      </c>
    </row>
    <row r="5" spans="1:8">
      <c r="A5" s="5"/>
      <c r="B5" s="2" t="s">
        <v>858</v>
      </c>
      <c r="C5" s="48">
        <v>10</v>
      </c>
      <c r="D5" s="4"/>
      <c r="E5" s="472">
        <v>8</v>
      </c>
      <c r="F5" s="50">
        <f t="shared" si="0"/>
        <v>320</v>
      </c>
      <c r="G5" s="5" t="s">
        <v>41</v>
      </c>
    </row>
    <row r="6" spans="1:8">
      <c r="A6" s="5"/>
      <c r="B6" s="2" t="s">
        <v>859</v>
      </c>
      <c r="C6" s="48">
        <v>14</v>
      </c>
      <c r="D6" s="4"/>
      <c r="E6" s="472">
        <v>10</v>
      </c>
      <c r="F6" s="50">
        <f t="shared" si="0"/>
        <v>400</v>
      </c>
      <c r="G6" s="5" t="s">
        <v>41</v>
      </c>
    </row>
    <row r="7" spans="1:8">
      <c r="A7" s="4"/>
      <c r="B7" s="2" t="s">
        <v>860</v>
      </c>
      <c r="C7" s="4"/>
      <c r="D7" s="4"/>
      <c r="E7" s="2">
        <v>2</v>
      </c>
      <c r="F7" s="50">
        <f t="shared" si="0"/>
        <v>80</v>
      </c>
      <c r="G7" s="5" t="s">
        <v>41</v>
      </c>
    </row>
    <row r="8" spans="1:8">
      <c r="E8" s="2" t="s">
        <v>53</v>
      </c>
      <c r="F8" s="4">
        <f>SUM(F2:F7)</f>
        <v>2000</v>
      </c>
    </row>
    <row r="9" spans="1:8">
      <c r="B9" s="72"/>
    </row>
    <row r="14" spans="1:8">
      <c r="B14" s="47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36</vt:i4>
      </vt:variant>
    </vt:vector>
  </HeadingPairs>
  <TitlesOfParts>
    <vt:vector size="36" baseType="lpstr">
      <vt:lpstr>Sprint 1</vt:lpstr>
      <vt:lpstr>Sprint 2 (ERC20 Epic)</vt:lpstr>
      <vt:lpstr>Sprint 3 </vt:lpstr>
      <vt:lpstr>Sprint 4</vt:lpstr>
      <vt:lpstr>Sprint 4.1</vt:lpstr>
      <vt:lpstr>Sprint 5</vt:lpstr>
      <vt:lpstr>Sprint 6</vt:lpstr>
      <vt:lpstr>Sprint 11 - main upadate (01.08</vt:lpstr>
      <vt:lpstr>Sprint 12 (24.10-25.11)</vt:lpstr>
      <vt:lpstr>Sprint 13 (28.11-13.12)</vt:lpstr>
      <vt:lpstr>Sprint 14 (14.12-26.12)</vt:lpstr>
      <vt:lpstr>Sprint 15 (27.12-17.01)</vt:lpstr>
      <vt:lpstr>Sprint 16 (18.01-10.02)</vt:lpstr>
      <vt:lpstr>Sprint 17 (11.02-28.02)</vt:lpstr>
      <vt:lpstr>Sprint 18 (01.03-23.03) </vt:lpstr>
      <vt:lpstr>Sprint 19 (24.03-09.04)</vt:lpstr>
      <vt:lpstr>Sprint 20 (10.04-29.04)</vt:lpstr>
      <vt:lpstr>Sprint 21 (30.04-03.07)</vt:lpstr>
      <vt:lpstr>Sprint 22 (04.07-03.08) </vt:lpstr>
      <vt:lpstr>Sprint 23 (04.08-04.09)</vt:lpstr>
      <vt:lpstr>Sprint 24 (05.09-29.10) </vt:lpstr>
      <vt:lpstr>Sprint 25 (30.10-28.12) </vt:lpstr>
      <vt:lpstr>Sprint 26 (29.12-06.03) </vt:lpstr>
      <vt:lpstr>Sprint 27 (07.03-26.04)</vt:lpstr>
      <vt:lpstr>Sprint 28 (27.04- 28.06)</vt:lpstr>
      <vt:lpstr>Sprint 29 (01.07 - 13.08 )</vt:lpstr>
      <vt:lpstr>Sprint 30 (14.08 - 16.09) </vt:lpstr>
      <vt:lpstr>Sprint 31 (17.09 - 11.11)</vt:lpstr>
      <vt:lpstr>Sprint 32 (12.11 - 23.12)</vt:lpstr>
      <vt:lpstr>Sprint 33 (24.12 - 10.02)</vt:lpstr>
      <vt:lpstr>Sprint 34 (11.02-15.05) </vt:lpstr>
      <vt:lpstr>Sprint 35 (19.05-19.06)</vt:lpstr>
      <vt:lpstr>Sprint 36 (20.06-21.07)</vt:lpstr>
      <vt:lpstr>Sprint 37 (22.07-29.08)</vt:lpstr>
      <vt:lpstr>Sprint 43 (24.03 - 27.04)</vt:lpstr>
      <vt:lpstr>Sprint 11 (22.03-08.04)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NIKITA</dc:creator>
  <cp:lastModifiedBy>NIKITA</cp:lastModifiedBy>
  <dcterms:created xsi:type="dcterms:W3CDTF">2026-04-20T06:55:58Z</dcterms:created>
  <dcterms:modified xsi:type="dcterms:W3CDTF">2026-04-20T06:55:58Z</dcterms:modified>
</cp:coreProperties>
</file>